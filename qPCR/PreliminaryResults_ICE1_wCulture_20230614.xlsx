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will/Documents/Research/Projects/USDA_NIFA_AMR/Sequencing/qPCR/"/>
    </mc:Choice>
  </mc:AlternateContent>
  <xr:revisionPtr revIDLastSave="0" documentId="13_ncr:1_{4C4A096B-F0C0-3845-8DDF-EE8BB0647A46}" xr6:coauthVersionLast="47" xr6:coauthVersionMax="47" xr10:uidLastSave="{00000000-0000-0000-0000-000000000000}"/>
  <bookViews>
    <workbookView xWindow="0" yWindow="0" windowWidth="35840" windowHeight="22400" xr2:uid="{4D9E4424-7FD2-3B49-A0A9-88DDA9C4E5F2}"/>
  </bookViews>
  <sheets>
    <sheet name="Sheet1" sheetId="1" r:id="rId1"/>
  </sheets>
  <definedNames>
    <definedName name="_xlnm._FilterDatabase" localSheetId="0" hidden="1">Sheet1!$A$1:$V$33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6" i="1" l="1"/>
  <c r="U8" i="1"/>
  <c r="U9" i="1"/>
  <c r="U14" i="1"/>
  <c r="U15" i="1"/>
  <c r="U23" i="1"/>
  <c r="U32" i="1"/>
  <c r="U33" i="1"/>
  <c r="U2" i="1"/>
  <c r="V4" i="1"/>
  <c r="V5" i="1"/>
  <c r="V6" i="1"/>
  <c r="V8" i="1"/>
  <c r="V9" i="1"/>
  <c r="V12" i="1"/>
  <c r="V13" i="1"/>
  <c r="V14" i="1"/>
  <c r="V15" i="1"/>
  <c r="V16" i="1"/>
  <c r="V17" i="1"/>
  <c r="V19" i="1"/>
  <c r="V22" i="1"/>
  <c r="V23" i="1"/>
  <c r="V25" i="1"/>
  <c r="V32" i="1"/>
  <c r="V33" i="1"/>
  <c r="V2" i="1"/>
</calcChain>
</file>

<file path=xl/sharedStrings.xml><?xml version="1.0" encoding="utf-8"?>
<sst xmlns="http://schemas.openxmlformats.org/spreadsheetml/2006/main" count="378" uniqueCount="92">
  <si>
    <t>Pool</t>
  </si>
  <si>
    <t>F19_CT_WK3_1</t>
  </si>
  <si>
    <t>F19_CT_WK3_2</t>
  </si>
  <si>
    <t>F19_MN_ARR_1</t>
  </si>
  <si>
    <t>F19_MN_ARR_2</t>
  </si>
  <si>
    <t>F19_MN_ARR_3</t>
  </si>
  <si>
    <t>F19_MN_WK3_1</t>
  </si>
  <si>
    <t>ICE1qPCR</t>
  </si>
  <si>
    <t>ICE2qPCR</t>
  </si>
  <si>
    <t>F19_CT_ARR_1</t>
  </si>
  <si>
    <t>F19_CT_ARR_2</t>
  </si>
  <si>
    <t>F19_MN_WK3_2</t>
  </si>
  <si>
    <t>F19_MN_WK3_3</t>
  </si>
  <si>
    <t>F19_MT_ARR_1</t>
  </si>
  <si>
    <t>F19_MT_ARR_2</t>
  </si>
  <si>
    <t>F19_MT_WK3_1</t>
  </si>
  <si>
    <t>F19_MT_WK3_2</t>
  </si>
  <si>
    <t>F20_CN_ARR_1</t>
  </si>
  <si>
    <t>F20_CN_ARR_2</t>
  </si>
  <si>
    <t>F20_CN_ARR_3</t>
  </si>
  <si>
    <t>F20_CN_WK3_1</t>
  </si>
  <si>
    <t>F20_CN_WK3_2</t>
  </si>
  <si>
    <t>F20_CN_WK3_3</t>
  </si>
  <si>
    <t>F20_CT_ARR_1</t>
  </si>
  <si>
    <t>F20_CT_ARR_2</t>
  </si>
  <si>
    <t>F20_CT_WK3_1</t>
  </si>
  <si>
    <t>F20_CT_WK3_2</t>
  </si>
  <si>
    <t>F20_MN_ARR_1</t>
  </si>
  <si>
    <t>F20_MN_ARR_2</t>
  </si>
  <si>
    <t>F20_MN_ARR_3</t>
  </si>
  <si>
    <t>F20_MN_WK3_1</t>
  </si>
  <si>
    <t>F20_MN_WK3_2</t>
  </si>
  <si>
    <t>F20_MN_WK3_3</t>
  </si>
  <si>
    <t>F20_MT_ARR_1</t>
  </si>
  <si>
    <t>F20_MT_ARR_2</t>
  </si>
  <si>
    <t>Mh-Culture</t>
  </si>
  <si>
    <t>ICE-WGS</t>
  </si>
  <si>
    <t>ICE1Cq</t>
  </si>
  <si>
    <t>ICE1SD</t>
  </si>
  <si>
    <t>ICE2Cq</t>
  </si>
  <si>
    <t>ICE2SD</t>
  </si>
  <si>
    <t>N</t>
  </si>
  <si>
    <t>ICE1Melt</t>
  </si>
  <si>
    <t>Multi</t>
  </si>
  <si>
    <t>ICE1PosMelt</t>
  </si>
  <si>
    <t>Inconclusive</t>
  </si>
  <si>
    <t>ICE1Amp</t>
  </si>
  <si>
    <t>83-84</t>
  </si>
  <si>
    <t>ICE2Amp</t>
  </si>
  <si>
    <t>ICE2PosMelt</t>
  </si>
  <si>
    <t>No/Inconclusive</t>
  </si>
  <si>
    <t>36/Undetermined</t>
  </si>
  <si>
    <t>Undetermined</t>
  </si>
  <si>
    <t>ICE2Melt</t>
  </si>
  <si>
    <t>82/None</t>
  </si>
  <si>
    <t>35.5/Undetermined</t>
  </si>
  <si>
    <t>No</t>
  </si>
  <si>
    <t>None</t>
  </si>
  <si>
    <t>Yes</t>
  </si>
  <si>
    <t>Y</t>
  </si>
  <si>
    <t>NO</t>
  </si>
  <si>
    <t>MhCq</t>
  </si>
  <si>
    <t>MhSD</t>
  </si>
  <si>
    <t>MhPosMelt</t>
  </si>
  <si>
    <t>MhMelt</t>
  </si>
  <si>
    <t>80-82</t>
  </si>
  <si>
    <t>N (Redo?)</t>
  </si>
  <si>
    <t>81-82</t>
  </si>
  <si>
    <t>MhqPCR (Cutoff 30, low standard around 28)</t>
  </si>
  <si>
    <t>Mh%</t>
  </si>
  <si>
    <t>ICE%</t>
  </si>
  <si>
    <t>Pool contained DNA extracted from NPS from animal(s) that was culture positive for Mh and ICE related genes were present in WGS of Mh isolate(s)</t>
  </si>
  <si>
    <t>Pool contained DNA extracted from NPS from animal(s) that was(were) culture positive for Mh</t>
  </si>
  <si>
    <t>Percentage of animals in pool that were Mh Positive via culture</t>
  </si>
  <si>
    <t>Percentage of animals in pool that were shedding ICE positive Mh</t>
  </si>
  <si>
    <t>MHqPCR</t>
  </si>
  <si>
    <t>Pool had amplification of MH (lktD gene)</t>
  </si>
  <si>
    <t>Cq of Mh qPCR</t>
  </si>
  <si>
    <t>standard deviation of Mh qPCR Cq</t>
  </si>
  <si>
    <t>Melt curve peak of Mh qPCR</t>
  </si>
  <si>
    <t>Melt curve peak of Positive control Mh qPCR</t>
  </si>
  <si>
    <t>ICE1 persent in pool (qPCR)</t>
  </si>
  <si>
    <t>Software determined amplification in pool</t>
  </si>
  <si>
    <t>Cq of ICE1 qPCR</t>
  </si>
  <si>
    <t>standard deviation of ICE1 qPCR Cq</t>
  </si>
  <si>
    <t>Melt curve peak of ICE1 qPCR</t>
  </si>
  <si>
    <t>Melt curve peak of Positive control ICE1 qPCR</t>
  </si>
  <si>
    <t>ICE2 persent in pool (qPCR)</t>
  </si>
  <si>
    <t>Cq of ICE2 qPCR</t>
  </si>
  <si>
    <t>standard deviation of ICE2 qPCR Cq</t>
  </si>
  <si>
    <t>Melt curve peak of ICE2 qPCR</t>
  </si>
  <si>
    <t>Melt curve peak of Positive control ICE2 qPCR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</si>
</sst>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6BE05A-97C4-BE48-ADE9-30E2FEDEEB2D}">
  <dimension ref="A1:AA33"/>
  <sheetViews>
    <sheetView tabSelected="1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Z27" sqref="Z27"/>
    </sheetView>
  </sheetViews>
  <sheetFormatPr baseColWidth="10" defaultRowHeight="16" x14ac:dyDescent="0.2"/>
  <cols>
    <col min="1" max="1" width="15" bestFit="1" customWidth="1"/>
    <col min="2" max="2" width="38.5" bestFit="1" customWidth="1"/>
    <col min="3" max="7" width="15" customWidth="1"/>
    <col min="9" max="10" width="13" bestFit="1" customWidth="1"/>
    <col min="15" max="15" width="17.5" bestFit="1" customWidth="1"/>
    <col min="16" max="16" width="13" bestFit="1" customWidth="1"/>
    <col min="18" max="18" width="11.33203125" bestFit="1" customWidth="1"/>
  </cols>
  <sheetData>
    <row r="1" spans="1:27" x14ac:dyDescent="0.2">
      <c r="A1" t="s">
        <v>0</v>
      </c>
      <c r="B1" t="s">
        <v>68</v>
      </c>
      <c r="C1" t="s">
        <v>61</v>
      </c>
      <c r="D1" t="s">
        <v>62</v>
      </c>
      <c r="E1" t="s">
        <v>64</v>
      </c>
      <c r="F1" t="s">
        <v>63</v>
      </c>
      <c r="G1" t="s">
        <v>7</v>
      </c>
      <c r="H1" t="s">
        <v>46</v>
      </c>
      <c r="I1" t="s">
        <v>37</v>
      </c>
      <c r="J1" t="s">
        <v>38</v>
      </c>
      <c r="K1" t="s">
        <v>42</v>
      </c>
      <c r="L1" t="s">
        <v>44</v>
      </c>
      <c r="M1" t="s">
        <v>8</v>
      </c>
      <c r="N1" t="s">
        <v>48</v>
      </c>
      <c r="O1" t="s">
        <v>39</v>
      </c>
      <c r="P1" t="s">
        <v>40</v>
      </c>
      <c r="Q1" t="s">
        <v>53</v>
      </c>
      <c r="R1" t="s">
        <v>49</v>
      </c>
      <c r="S1" t="s">
        <v>35</v>
      </c>
      <c r="T1" t="s">
        <v>36</v>
      </c>
      <c r="U1" t="s">
        <v>69</v>
      </c>
      <c r="V1" t="s">
        <v>70</v>
      </c>
    </row>
    <row r="2" spans="1:27" x14ac:dyDescent="0.2">
      <c r="A2" t="s">
        <v>1</v>
      </c>
      <c r="B2" t="s">
        <v>41</v>
      </c>
      <c r="C2">
        <v>34.385948181152344</v>
      </c>
      <c r="D2">
        <v>0.10701927542686462</v>
      </c>
      <c r="E2">
        <v>80.599999999999994</v>
      </c>
      <c r="F2">
        <v>80</v>
      </c>
      <c r="G2" t="s">
        <v>41</v>
      </c>
      <c r="H2" t="s">
        <v>45</v>
      </c>
      <c r="I2">
        <v>36.700000000000003</v>
      </c>
      <c r="J2">
        <v>0.31</v>
      </c>
      <c r="K2" t="s">
        <v>47</v>
      </c>
      <c r="L2">
        <v>81</v>
      </c>
      <c r="M2" t="s">
        <v>41</v>
      </c>
      <c r="N2" t="s">
        <v>50</v>
      </c>
      <c r="O2" t="s">
        <v>51</v>
      </c>
      <c r="P2" t="s">
        <v>52</v>
      </c>
      <c r="Q2" t="s">
        <v>54</v>
      </c>
      <c r="R2">
        <v>81.5</v>
      </c>
      <c r="S2" t="s">
        <v>41</v>
      </c>
      <c r="T2" t="s">
        <v>41</v>
      </c>
      <c r="U2">
        <f>IF(S2="N",0,"MANUAL")</f>
        <v>0</v>
      </c>
      <c r="V2">
        <f>IF(T2="N",0,"MANUAL")</f>
        <v>0</v>
      </c>
      <c r="Z2" t="s">
        <v>35</v>
      </c>
      <c r="AA2" t="s">
        <v>72</v>
      </c>
    </row>
    <row r="3" spans="1:27" x14ac:dyDescent="0.2">
      <c r="A3" t="s">
        <v>2</v>
      </c>
      <c r="B3" t="s">
        <v>41</v>
      </c>
      <c r="C3">
        <v>33.929515838623047</v>
      </c>
      <c r="D3">
        <v>0.49574476480484009</v>
      </c>
      <c r="E3">
        <v>80.599999999999994</v>
      </c>
      <c r="F3">
        <v>80</v>
      </c>
      <c r="G3" t="s">
        <v>41</v>
      </c>
      <c r="H3" t="s">
        <v>45</v>
      </c>
      <c r="I3">
        <v>35.6</v>
      </c>
      <c r="J3">
        <v>0.62</v>
      </c>
      <c r="K3" t="s">
        <v>47</v>
      </c>
      <c r="L3">
        <v>81</v>
      </c>
      <c r="M3" t="s">
        <v>41</v>
      </c>
      <c r="N3" t="s">
        <v>45</v>
      </c>
      <c r="O3" t="s">
        <v>55</v>
      </c>
      <c r="P3" t="s">
        <v>52</v>
      </c>
      <c r="Q3" t="s">
        <v>54</v>
      </c>
      <c r="R3">
        <v>81.5</v>
      </c>
      <c r="S3" t="s">
        <v>59</v>
      </c>
      <c r="T3" t="s">
        <v>59</v>
      </c>
      <c r="U3">
        <v>33</v>
      </c>
      <c r="V3">
        <v>33</v>
      </c>
      <c r="Z3" t="s">
        <v>36</v>
      </c>
      <c r="AA3" t="s">
        <v>71</v>
      </c>
    </row>
    <row r="4" spans="1:27" x14ac:dyDescent="0.2">
      <c r="A4" t="s">
        <v>3</v>
      </c>
      <c r="B4" t="s">
        <v>59</v>
      </c>
      <c r="C4">
        <v>25.570785522460938</v>
      </c>
      <c r="D4">
        <v>0.16230444610118866</v>
      </c>
      <c r="E4">
        <v>80.8</v>
      </c>
      <c r="F4">
        <v>80</v>
      </c>
      <c r="G4" t="s">
        <v>41</v>
      </c>
      <c r="H4" t="s">
        <v>45</v>
      </c>
      <c r="I4">
        <v>37.1</v>
      </c>
      <c r="J4">
        <v>0.77900000000000003</v>
      </c>
      <c r="K4" t="s">
        <v>47</v>
      </c>
      <c r="L4">
        <v>81</v>
      </c>
      <c r="M4" t="s">
        <v>41</v>
      </c>
      <c r="N4" t="s">
        <v>56</v>
      </c>
      <c r="O4" t="s">
        <v>52</v>
      </c>
      <c r="P4" t="s">
        <v>52</v>
      </c>
      <c r="Q4" t="s">
        <v>57</v>
      </c>
      <c r="R4">
        <v>81.5</v>
      </c>
      <c r="S4" t="s">
        <v>59</v>
      </c>
      <c r="T4" t="s">
        <v>41</v>
      </c>
      <c r="U4">
        <v>30</v>
      </c>
      <c r="V4">
        <f t="shared" ref="V4:V33" si="0">IF(T4="N",0,"MANUAL")</f>
        <v>0</v>
      </c>
      <c r="Z4" t="s">
        <v>69</v>
      </c>
      <c r="AA4" t="s">
        <v>73</v>
      </c>
    </row>
    <row r="5" spans="1:27" x14ac:dyDescent="0.2">
      <c r="A5" t="s">
        <v>4</v>
      </c>
      <c r="B5" t="s">
        <v>66</v>
      </c>
      <c r="C5">
        <v>27.709800720214844</v>
      </c>
      <c r="D5">
        <v>0.84572046995162964</v>
      </c>
      <c r="E5">
        <v>80.5</v>
      </c>
      <c r="F5">
        <v>80</v>
      </c>
      <c r="G5" t="s">
        <v>41</v>
      </c>
      <c r="H5" t="s">
        <v>45</v>
      </c>
      <c r="I5">
        <v>36.6</v>
      </c>
      <c r="J5">
        <v>0.26500000000000001</v>
      </c>
      <c r="K5" t="s">
        <v>47</v>
      </c>
      <c r="L5">
        <v>81</v>
      </c>
      <c r="M5" t="s">
        <v>41</v>
      </c>
      <c r="N5" t="s">
        <v>56</v>
      </c>
      <c r="O5" t="s">
        <v>52</v>
      </c>
      <c r="P5" t="s">
        <v>52</v>
      </c>
      <c r="Q5" t="s">
        <v>57</v>
      </c>
      <c r="R5">
        <v>81.5</v>
      </c>
      <c r="S5" t="s">
        <v>59</v>
      </c>
      <c r="T5" t="s">
        <v>41</v>
      </c>
      <c r="U5">
        <v>30</v>
      </c>
      <c r="V5">
        <f t="shared" si="0"/>
        <v>0</v>
      </c>
      <c r="Z5" t="s">
        <v>70</v>
      </c>
      <c r="AA5" t="s">
        <v>74</v>
      </c>
    </row>
    <row r="6" spans="1:27" x14ac:dyDescent="0.2">
      <c r="A6" t="s">
        <v>5</v>
      </c>
      <c r="B6" t="s">
        <v>41</v>
      </c>
      <c r="C6">
        <v>33.350006103515625</v>
      </c>
      <c r="D6">
        <v>1.0166127681732178</v>
      </c>
      <c r="E6" t="s">
        <v>65</v>
      </c>
      <c r="F6">
        <v>80</v>
      </c>
      <c r="G6" t="s">
        <v>41</v>
      </c>
      <c r="H6" t="s">
        <v>45</v>
      </c>
      <c r="I6">
        <v>36.299999999999997</v>
      </c>
      <c r="J6">
        <v>0.67500000000000004</v>
      </c>
      <c r="K6" t="s">
        <v>47</v>
      </c>
      <c r="L6">
        <v>81</v>
      </c>
      <c r="M6" t="s">
        <v>66</v>
      </c>
      <c r="N6" t="s">
        <v>58</v>
      </c>
      <c r="O6">
        <v>30.6</v>
      </c>
      <c r="P6">
        <v>3.0430000000000001</v>
      </c>
      <c r="Q6">
        <v>81.3</v>
      </c>
      <c r="R6">
        <v>81.5</v>
      </c>
      <c r="S6" t="s">
        <v>41</v>
      </c>
      <c r="T6" t="s">
        <v>41</v>
      </c>
      <c r="U6">
        <f t="shared" ref="U6:U33" si="1">IF(S6="N",0,"MANUAL")</f>
        <v>0</v>
      </c>
      <c r="V6">
        <f t="shared" si="0"/>
        <v>0</v>
      </c>
    </row>
    <row r="7" spans="1:27" x14ac:dyDescent="0.2">
      <c r="A7" t="s">
        <v>6</v>
      </c>
      <c r="B7" t="s">
        <v>59</v>
      </c>
      <c r="C7">
        <v>27.493904113769531</v>
      </c>
      <c r="D7">
        <v>6.9326460361480713E-2</v>
      </c>
      <c r="E7">
        <v>80.099999999999994</v>
      </c>
      <c r="F7">
        <v>80</v>
      </c>
      <c r="G7" t="s">
        <v>41</v>
      </c>
      <c r="H7" t="s">
        <v>45</v>
      </c>
      <c r="I7">
        <v>37.5</v>
      </c>
      <c r="J7">
        <v>0.41199999999999998</v>
      </c>
      <c r="K7" t="s">
        <v>47</v>
      </c>
      <c r="L7">
        <v>81</v>
      </c>
      <c r="M7" t="s">
        <v>59</v>
      </c>
      <c r="N7" t="s">
        <v>58</v>
      </c>
      <c r="O7">
        <v>29.9</v>
      </c>
      <c r="P7">
        <v>0.4</v>
      </c>
      <c r="Q7">
        <v>81</v>
      </c>
      <c r="R7">
        <v>81.5</v>
      </c>
      <c r="S7" t="s">
        <v>59</v>
      </c>
      <c r="T7" t="s">
        <v>59</v>
      </c>
      <c r="U7">
        <v>70</v>
      </c>
      <c r="V7">
        <v>70</v>
      </c>
      <c r="Z7" t="s">
        <v>75</v>
      </c>
      <c r="AA7" t="s">
        <v>76</v>
      </c>
    </row>
    <row r="8" spans="1:27" x14ac:dyDescent="0.2">
      <c r="A8" t="s">
        <v>9</v>
      </c>
      <c r="B8" t="s">
        <v>59</v>
      </c>
      <c r="C8">
        <v>29.563024520874023</v>
      </c>
      <c r="D8">
        <v>0.14088548719882965</v>
      </c>
      <c r="E8">
        <v>80.099999999999994</v>
      </c>
      <c r="F8">
        <v>80</v>
      </c>
      <c r="G8" t="s">
        <v>41</v>
      </c>
      <c r="H8" t="s">
        <v>60</v>
      </c>
      <c r="I8" t="s">
        <v>52</v>
      </c>
      <c r="J8" t="s">
        <v>52</v>
      </c>
      <c r="K8" t="s">
        <v>52</v>
      </c>
      <c r="L8">
        <v>81</v>
      </c>
      <c r="S8" t="s">
        <v>41</v>
      </c>
      <c r="T8" t="s">
        <v>41</v>
      </c>
      <c r="U8">
        <f t="shared" si="1"/>
        <v>0</v>
      </c>
      <c r="V8">
        <f t="shared" si="0"/>
        <v>0</v>
      </c>
      <c r="Z8" t="s">
        <v>61</v>
      </c>
      <c r="AA8" t="s">
        <v>77</v>
      </c>
    </row>
    <row r="9" spans="1:27" x14ac:dyDescent="0.2">
      <c r="A9" t="s">
        <v>10</v>
      </c>
      <c r="B9" t="s">
        <v>59</v>
      </c>
      <c r="C9">
        <v>28.021743774414062</v>
      </c>
      <c r="D9">
        <v>0.29077619314193726</v>
      </c>
      <c r="E9">
        <v>80.2</v>
      </c>
      <c r="F9">
        <v>80</v>
      </c>
      <c r="G9" t="s">
        <v>41</v>
      </c>
      <c r="H9" t="s">
        <v>60</v>
      </c>
      <c r="I9" t="s">
        <v>52</v>
      </c>
      <c r="J9" t="s">
        <v>52</v>
      </c>
      <c r="K9" t="s">
        <v>52</v>
      </c>
      <c r="L9">
        <v>81</v>
      </c>
      <c r="S9" t="s">
        <v>41</v>
      </c>
      <c r="T9" t="s">
        <v>41</v>
      </c>
      <c r="U9">
        <f t="shared" si="1"/>
        <v>0</v>
      </c>
      <c r="V9">
        <f t="shared" si="0"/>
        <v>0</v>
      </c>
      <c r="Z9" t="s">
        <v>62</v>
      </c>
      <c r="AA9" t="s">
        <v>78</v>
      </c>
    </row>
    <row r="10" spans="1:27" x14ac:dyDescent="0.2">
      <c r="A10" t="s">
        <v>11</v>
      </c>
      <c r="B10" t="s">
        <v>66</v>
      </c>
      <c r="C10">
        <v>26.0064697265625</v>
      </c>
      <c r="D10">
        <v>0.61179584264755249</v>
      </c>
      <c r="E10">
        <v>80.099999999999994</v>
      </c>
      <c r="F10">
        <v>80</v>
      </c>
      <c r="G10" t="s">
        <v>41</v>
      </c>
      <c r="H10" t="s">
        <v>60</v>
      </c>
      <c r="I10" t="s">
        <v>52</v>
      </c>
      <c r="J10" t="s">
        <v>52</v>
      </c>
      <c r="K10" t="s">
        <v>52</v>
      </c>
      <c r="L10">
        <v>81</v>
      </c>
      <c r="S10" t="s">
        <v>59</v>
      </c>
      <c r="T10" t="s">
        <v>59</v>
      </c>
      <c r="U10">
        <v>50</v>
      </c>
      <c r="V10">
        <v>50</v>
      </c>
      <c r="Z10" t="s">
        <v>64</v>
      </c>
      <c r="AA10" t="s">
        <v>79</v>
      </c>
    </row>
    <row r="11" spans="1:27" x14ac:dyDescent="0.2">
      <c r="A11" t="s">
        <v>12</v>
      </c>
      <c r="B11" t="s">
        <v>59</v>
      </c>
      <c r="C11">
        <v>26.391992568969727</v>
      </c>
      <c r="D11">
        <v>0.28592896461486816</v>
      </c>
      <c r="E11">
        <v>80.3</v>
      </c>
      <c r="F11">
        <v>80</v>
      </c>
      <c r="G11" t="s">
        <v>41</v>
      </c>
      <c r="H11" t="s">
        <v>60</v>
      </c>
      <c r="I11" t="s">
        <v>52</v>
      </c>
      <c r="J11" t="s">
        <v>52</v>
      </c>
      <c r="K11" t="s">
        <v>52</v>
      </c>
      <c r="L11">
        <v>81</v>
      </c>
      <c r="S11" t="s">
        <v>59</v>
      </c>
      <c r="T11" t="s">
        <v>59</v>
      </c>
      <c r="U11">
        <v>70</v>
      </c>
      <c r="V11">
        <v>70</v>
      </c>
      <c r="Z11" t="s">
        <v>63</v>
      </c>
      <c r="AA11" t="s">
        <v>80</v>
      </c>
    </row>
    <row r="12" spans="1:27" x14ac:dyDescent="0.2">
      <c r="A12" t="s">
        <v>13</v>
      </c>
      <c r="B12" t="s">
        <v>59</v>
      </c>
      <c r="C12">
        <v>27.243413925170898</v>
      </c>
      <c r="D12">
        <v>9.3556337058544159E-2</v>
      </c>
      <c r="E12">
        <v>80.099999999999994</v>
      </c>
      <c r="F12">
        <v>80</v>
      </c>
      <c r="G12" t="s">
        <v>41</v>
      </c>
      <c r="H12" t="s">
        <v>60</v>
      </c>
      <c r="I12" t="s">
        <v>52</v>
      </c>
      <c r="J12" t="s">
        <v>52</v>
      </c>
      <c r="K12" t="s">
        <v>52</v>
      </c>
      <c r="L12">
        <v>81</v>
      </c>
      <c r="S12" t="s">
        <v>59</v>
      </c>
      <c r="T12" t="s">
        <v>41</v>
      </c>
      <c r="U12">
        <v>25</v>
      </c>
      <c r="V12">
        <f t="shared" si="0"/>
        <v>0</v>
      </c>
      <c r="Z12" t="s">
        <v>7</v>
      </c>
      <c r="AA12" t="s">
        <v>81</v>
      </c>
    </row>
    <row r="13" spans="1:27" x14ac:dyDescent="0.2">
      <c r="A13" t="s">
        <v>14</v>
      </c>
      <c r="B13" t="s">
        <v>59</v>
      </c>
      <c r="C13">
        <v>26.784614562988281</v>
      </c>
      <c r="D13">
        <v>0.24964100122451782</v>
      </c>
      <c r="E13">
        <v>80.3</v>
      </c>
      <c r="F13">
        <v>80</v>
      </c>
      <c r="G13" t="s">
        <v>41</v>
      </c>
      <c r="H13" t="s">
        <v>60</v>
      </c>
      <c r="I13" t="s">
        <v>52</v>
      </c>
      <c r="J13" t="s">
        <v>52</v>
      </c>
      <c r="K13" t="s">
        <v>52</v>
      </c>
      <c r="L13">
        <v>81</v>
      </c>
      <c r="S13" t="s">
        <v>59</v>
      </c>
      <c r="T13" t="s">
        <v>41</v>
      </c>
      <c r="U13">
        <v>67</v>
      </c>
      <c r="V13">
        <f t="shared" si="0"/>
        <v>0</v>
      </c>
      <c r="Z13" t="s">
        <v>46</v>
      </c>
      <c r="AA13" t="s">
        <v>82</v>
      </c>
    </row>
    <row r="14" spans="1:27" x14ac:dyDescent="0.2">
      <c r="A14" t="s">
        <v>15</v>
      </c>
      <c r="B14" t="s">
        <v>41</v>
      </c>
      <c r="C14" t="s">
        <v>52</v>
      </c>
      <c r="D14" t="s">
        <v>52</v>
      </c>
      <c r="E14" t="s">
        <v>43</v>
      </c>
      <c r="F14">
        <v>80</v>
      </c>
      <c r="G14" t="s">
        <v>41</v>
      </c>
      <c r="H14" t="s">
        <v>60</v>
      </c>
      <c r="I14" t="s">
        <v>52</v>
      </c>
      <c r="J14" t="s">
        <v>52</v>
      </c>
      <c r="K14" t="s">
        <v>52</v>
      </c>
      <c r="L14">
        <v>81</v>
      </c>
      <c r="S14" t="s">
        <v>41</v>
      </c>
      <c r="T14" t="s">
        <v>41</v>
      </c>
      <c r="U14">
        <f t="shared" si="1"/>
        <v>0</v>
      </c>
      <c r="V14">
        <f t="shared" si="0"/>
        <v>0</v>
      </c>
      <c r="Z14" t="s">
        <v>37</v>
      </c>
      <c r="AA14" t="s">
        <v>83</v>
      </c>
    </row>
    <row r="15" spans="1:27" x14ac:dyDescent="0.2">
      <c r="A15" t="s">
        <v>16</v>
      </c>
      <c r="B15" t="s">
        <v>41</v>
      </c>
      <c r="C15">
        <v>35.695751190185547</v>
      </c>
      <c r="D15">
        <v>2.1715681552886963</v>
      </c>
      <c r="E15" t="s">
        <v>67</v>
      </c>
      <c r="F15">
        <v>80</v>
      </c>
      <c r="G15" t="s">
        <v>41</v>
      </c>
      <c r="H15" t="s">
        <v>60</v>
      </c>
      <c r="I15" t="s">
        <v>52</v>
      </c>
      <c r="J15" t="s">
        <v>52</v>
      </c>
      <c r="K15" t="s">
        <v>52</v>
      </c>
      <c r="L15">
        <v>81</v>
      </c>
      <c r="S15" t="s">
        <v>41</v>
      </c>
      <c r="T15" t="s">
        <v>41</v>
      </c>
      <c r="U15">
        <f t="shared" si="1"/>
        <v>0</v>
      </c>
      <c r="V15">
        <f t="shared" si="0"/>
        <v>0</v>
      </c>
      <c r="Z15" t="s">
        <v>38</v>
      </c>
      <c r="AA15" t="s">
        <v>84</v>
      </c>
    </row>
    <row r="16" spans="1:27" x14ac:dyDescent="0.2">
      <c r="A16" t="s">
        <v>17</v>
      </c>
      <c r="B16" t="s">
        <v>41</v>
      </c>
      <c r="C16">
        <v>34.543449401855469</v>
      </c>
      <c r="D16">
        <v>1.9893950223922729</v>
      </c>
      <c r="E16" t="s">
        <v>43</v>
      </c>
      <c r="F16">
        <v>80</v>
      </c>
      <c r="G16" t="s">
        <v>41</v>
      </c>
      <c r="H16" t="s">
        <v>60</v>
      </c>
      <c r="I16" t="s">
        <v>52</v>
      </c>
      <c r="J16" t="s">
        <v>52</v>
      </c>
      <c r="K16" t="s">
        <v>52</v>
      </c>
      <c r="L16">
        <v>81</v>
      </c>
      <c r="S16" t="s">
        <v>59</v>
      </c>
      <c r="T16" t="s">
        <v>41</v>
      </c>
      <c r="U16">
        <v>10</v>
      </c>
      <c r="V16">
        <f t="shared" si="0"/>
        <v>0</v>
      </c>
      <c r="Z16" t="s">
        <v>42</v>
      </c>
      <c r="AA16" t="s">
        <v>85</v>
      </c>
    </row>
    <row r="17" spans="1:27" x14ac:dyDescent="0.2">
      <c r="A17" t="s">
        <v>18</v>
      </c>
      <c r="B17" t="s">
        <v>59</v>
      </c>
      <c r="C17">
        <v>27.853536605834961</v>
      </c>
      <c r="D17">
        <v>0.11767033487558365</v>
      </c>
      <c r="E17">
        <v>80.099999999999994</v>
      </c>
      <c r="F17">
        <v>80</v>
      </c>
      <c r="G17" t="s">
        <v>41</v>
      </c>
      <c r="H17" t="s">
        <v>60</v>
      </c>
      <c r="I17" t="s">
        <v>52</v>
      </c>
      <c r="J17" t="s">
        <v>52</v>
      </c>
      <c r="K17" t="s">
        <v>52</v>
      </c>
      <c r="L17">
        <v>81</v>
      </c>
      <c r="S17" t="s">
        <v>59</v>
      </c>
      <c r="T17" t="s">
        <v>41</v>
      </c>
      <c r="U17">
        <v>20</v>
      </c>
      <c r="V17">
        <f t="shared" si="0"/>
        <v>0</v>
      </c>
      <c r="Z17" t="s">
        <v>44</v>
      </c>
      <c r="AA17" t="s">
        <v>86</v>
      </c>
    </row>
    <row r="18" spans="1:27" x14ac:dyDescent="0.2">
      <c r="A18" t="s">
        <v>19</v>
      </c>
      <c r="B18" t="s">
        <v>59</v>
      </c>
      <c r="C18">
        <v>28.9222412109375</v>
      </c>
      <c r="D18">
        <v>0.33592674136161804</v>
      </c>
      <c r="E18">
        <v>80.2</v>
      </c>
      <c r="F18">
        <v>80</v>
      </c>
      <c r="G18" t="s">
        <v>41</v>
      </c>
      <c r="H18" t="s">
        <v>60</v>
      </c>
      <c r="I18" t="s">
        <v>52</v>
      </c>
      <c r="J18" t="s">
        <v>52</v>
      </c>
      <c r="K18" t="s">
        <v>52</v>
      </c>
      <c r="L18">
        <v>81</v>
      </c>
      <c r="S18" t="s">
        <v>59</v>
      </c>
      <c r="T18" t="s">
        <v>59</v>
      </c>
      <c r="U18">
        <v>30</v>
      </c>
      <c r="V18">
        <v>10</v>
      </c>
      <c r="Z18" t="s">
        <v>8</v>
      </c>
      <c r="AA18" t="s">
        <v>87</v>
      </c>
    </row>
    <row r="19" spans="1:27" x14ac:dyDescent="0.2">
      <c r="A19" t="s">
        <v>20</v>
      </c>
      <c r="B19" t="s">
        <v>41</v>
      </c>
      <c r="C19">
        <v>30.082931518554688</v>
      </c>
      <c r="D19">
        <v>0.26724237203598022</v>
      </c>
      <c r="E19">
        <v>80.3</v>
      </c>
      <c r="F19">
        <v>80</v>
      </c>
      <c r="G19" t="s">
        <v>41</v>
      </c>
      <c r="H19" t="s">
        <v>60</v>
      </c>
      <c r="I19" t="s">
        <v>52</v>
      </c>
      <c r="J19" t="s">
        <v>52</v>
      </c>
      <c r="K19" t="s">
        <v>52</v>
      </c>
      <c r="L19">
        <v>81</v>
      </c>
      <c r="S19" t="s">
        <v>59</v>
      </c>
      <c r="T19" t="s">
        <v>41</v>
      </c>
      <c r="U19">
        <v>30</v>
      </c>
      <c r="V19">
        <f t="shared" si="0"/>
        <v>0</v>
      </c>
      <c r="Z19" t="s">
        <v>48</v>
      </c>
      <c r="AA19" t="s">
        <v>82</v>
      </c>
    </row>
    <row r="20" spans="1:27" x14ac:dyDescent="0.2">
      <c r="A20" t="s">
        <v>21</v>
      </c>
      <c r="B20" t="s">
        <v>66</v>
      </c>
      <c r="C20">
        <v>26.490865707397461</v>
      </c>
      <c r="D20">
        <v>0.7524762749671936</v>
      </c>
      <c r="E20">
        <v>80.3</v>
      </c>
      <c r="F20">
        <v>80</v>
      </c>
      <c r="G20" t="s">
        <v>41</v>
      </c>
      <c r="H20" t="s">
        <v>60</v>
      </c>
      <c r="I20" t="s">
        <v>52</v>
      </c>
      <c r="J20" t="s">
        <v>52</v>
      </c>
      <c r="K20" t="s">
        <v>52</v>
      </c>
      <c r="L20">
        <v>81</v>
      </c>
      <c r="S20" t="s">
        <v>59</v>
      </c>
      <c r="T20" t="s">
        <v>59</v>
      </c>
      <c r="U20">
        <v>60</v>
      </c>
      <c r="V20">
        <v>20</v>
      </c>
      <c r="Z20" t="s">
        <v>39</v>
      </c>
      <c r="AA20" t="s">
        <v>88</v>
      </c>
    </row>
    <row r="21" spans="1:27" x14ac:dyDescent="0.2">
      <c r="A21" t="s">
        <v>22</v>
      </c>
      <c r="B21" t="s">
        <v>59</v>
      </c>
      <c r="C21">
        <v>27.568487167358398</v>
      </c>
      <c r="D21">
        <v>1.8602482974529266E-2</v>
      </c>
      <c r="E21">
        <v>80.2</v>
      </c>
      <c r="F21">
        <v>80</v>
      </c>
      <c r="G21" t="s">
        <v>41</v>
      </c>
      <c r="H21" t="s">
        <v>60</v>
      </c>
      <c r="I21" t="s">
        <v>52</v>
      </c>
      <c r="J21" t="s">
        <v>52</v>
      </c>
      <c r="K21" t="s">
        <v>52</v>
      </c>
      <c r="L21">
        <v>81</v>
      </c>
      <c r="S21" t="s">
        <v>59</v>
      </c>
      <c r="T21" t="s">
        <v>59</v>
      </c>
      <c r="U21">
        <v>60</v>
      </c>
      <c r="V21">
        <v>20</v>
      </c>
      <c r="Z21" t="s">
        <v>40</v>
      </c>
      <c r="AA21" t="s">
        <v>89</v>
      </c>
    </row>
    <row r="22" spans="1:27" x14ac:dyDescent="0.2">
      <c r="A22" t="s">
        <v>23</v>
      </c>
      <c r="B22" t="s">
        <v>59</v>
      </c>
      <c r="C22">
        <v>25.401336669921875</v>
      </c>
      <c r="D22">
        <v>0.16244642436504364</v>
      </c>
      <c r="E22">
        <v>80.099999999999994</v>
      </c>
      <c r="F22">
        <v>80</v>
      </c>
      <c r="G22" t="s">
        <v>41</v>
      </c>
      <c r="H22" t="s">
        <v>60</v>
      </c>
      <c r="I22" t="s">
        <v>52</v>
      </c>
      <c r="J22" t="s">
        <v>52</v>
      </c>
      <c r="K22" t="s">
        <v>52</v>
      </c>
      <c r="L22">
        <v>81</v>
      </c>
      <c r="S22" t="s">
        <v>59</v>
      </c>
      <c r="T22" t="s">
        <v>41</v>
      </c>
      <c r="U22">
        <v>40</v>
      </c>
      <c r="V22">
        <f t="shared" si="0"/>
        <v>0</v>
      </c>
      <c r="Z22" t="s">
        <v>53</v>
      </c>
      <c r="AA22" t="s">
        <v>90</v>
      </c>
    </row>
    <row r="23" spans="1:27" x14ac:dyDescent="0.2">
      <c r="A23" t="s">
        <v>24</v>
      </c>
      <c r="B23" t="s">
        <v>41</v>
      </c>
      <c r="C23">
        <v>31.964141845703125</v>
      </c>
      <c r="D23">
        <v>1.047391414642334</v>
      </c>
      <c r="E23">
        <v>80</v>
      </c>
      <c r="F23">
        <v>80</v>
      </c>
      <c r="G23" t="s">
        <v>41</v>
      </c>
      <c r="H23" t="s">
        <v>60</v>
      </c>
      <c r="I23" t="s">
        <v>52</v>
      </c>
      <c r="J23" t="s">
        <v>52</v>
      </c>
      <c r="K23" t="s">
        <v>52</v>
      </c>
      <c r="L23">
        <v>81</v>
      </c>
      <c r="S23" t="s">
        <v>41</v>
      </c>
      <c r="T23" t="s">
        <v>41</v>
      </c>
      <c r="U23">
        <f t="shared" si="1"/>
        <v>0</v>
      </c>
      <c r="V23">
        <f t="shared" si="0"/>
        <v>0</v>
      </c>
      <c r="Z23" t="s">
        <v>49</v>
      </c>
      <c r="AA23" t="s">
        <v>91</v>
      </c>
    </row>
    <row r="24" spans="1:27" x14ac:dyDescent="0.2">
      <c r="A24" t="s">
        <v>25</v>
      </c>
      <c r="B24" t="s">
        <v>41</v>
      </c>
      <c r="C24">
        <v>30.242570877075195</v>
      </c>
      <c r="D24">
        <v>0.15781596302986145</v>
      </c>
      <c r="E24">
        <v>80.099999999999994</v>
      </c>
      <c r="F24">
        <v>80</v>
      </c>
      <c r="G24" t="s">
        <v>41</v>
      </c>
      <c r="H24" t="s">
        <v>60</v>
      </c>
      <c r="I24" t="s">
        <v>52</v>
      </c>
      <c r="J24" t="s">
        <v>52</v>
      </c>
      <c r="K24" t="s">
        <v>52</v>
      </c>
      <c r="L24">
        <v>81</v>
      </c>
      <c r="S24" t="s">
        <v>59</v>
      </c>
      <c r="T24" t="s">
        <v>59</v>
      </c>
      <c r="U24">
        <v>50</v>
      </c>
      <c r="V24">
        <v>25</v>
      </c>
    </row>
    <row r="25" spans="1:27" x14ac:dyDescent="0.2">
      <c r="A25" t="s">
        <v>26</v>
      </c>
      <c r="B25" t="s">
        <v>41</v>
      </c>
      <c r="C25">
        <v>34.554039001464844</v>
      </c>
      <c r="D25">
        <v>0.803730309009552</v>
      </c>
      <c r="E25">
        <v>80.3</v>
      </c>
      <c r="F25">
        <v>80</v>
      </c>
      <c r="G25" t="s">
        <v>41</v>
      </c>
      <c r="H25" t="s">
        <v>60</v>
      </c>
      <c r="I25" t="s">
        <v>52</v>
      </c>
      <c r="J25" t="s">
        <v>52</v>
      </c>
      <c r="K25" t="s">
        <v>52</v>
      </c>
      <c r="L25">
        <v>81</v>
      </c>
      <c r="S25" t="s">
        <v>59</v>
      </c>
      <c r="T25" t="s">
        <v>41</v>
      </c>
      <c r="U25">
        <v>33</v>
      </c>
      <c r="V25">
        <f t="shared" si="0"/>
        <v>0</v>
      </c>
      <c r="Z25" t="s">
        <v>59</v>
      </c>
      <c r="AA25" t="s">
        <v>58</v>
      </c>
    </row>
    <row r="26" spans="1:27" x14ac:dyDescent="0.2">
      <c r="A26" t="s">
        <v>27</v>
      </c>
      <c r="B26" t="s">
        <v>59</v>
      </c>
      <c r="C26">
        <v>27.886957168579102</v>
      </c>
      <c r="D26">
        <v>0.37534609436988831</v>
      </c>
      <c r="E26">
        <v>80.599999999999994</v>
      </c>
      <c r="F26">
        <v>80</v>
      </c>
      <c r="G26" t="s">
        <v>41</v>
      </c>
      <c r="H26" t="s">
        <v>60</v>
      </c>
      <c r="I26" t="s">
        <v>52</v>
      </c>
      <c r="J26" t="s">
        <v>52</v>
      </c>
      <c r="K26" t="s">
        <v>52</v>
      </c>
      <c r="L26">
        <v>81</v>
      </c>
      <c r="S26" t="s">
        <v>59</v>
      </c>
      <c r="T26" t="s">
        <v>59</v>
      </c>
      <c r="U26">
        <v>17</v>
      </c>
      <c r="V26">
        <v>17</v>
      </c>
      <c r="Z26" t="s">
        <v>41</v>
      </c>
      <c r="AA26" t="s">
        <v>56</v>
      </c>
    </row>
    <row r="27" spans="1:27" x14ac:dyDescent="0.2">
      <c r="A27" t="s">
        <v>28</v>
      </c>
      <c r="B27" t="s">
        <v>59</v>
      </c>
      <c r="C27">
        <v>25.712362289428711</v>
      </c>
      <c r="D27">
        <v>0.17197631299495697</v>
      </c>
      <c r="E27">
        <v>80.7</v>
      </c>
      <c r="F27">
        <v>80</v>
      </c>
      <c r="G27" t="s">
        <v>41</v>
      </c>
      <c r="H27" t="s">
        <v>60</v>
      </c>
      <c r="I27" t="s">
        <v>52</v>
      </c>
      <c r="J27" t="s">
        <v>52</v>
      </c>
      <c r="K27" t="s">
        <v>52</v>
      </c>
      <c r="L27">
        <v>81</v>
      </c>
      <c r="S27" t="s">
        <v>59</v>
      </c>
      <c r="T27" t="s">
        <v>59</v>
      </c>
      <c r="U27">
        <v>27</v>
      </c>
      <c r="V27">
        <v>9</v>
      </c>
    </row>
    <row r="28" spans="1:27" x14ac:dyDescent="0.2">
      <c r="A28" t="s">
        <v>29</v>
      </c>
      <c r="B28" t="s">
        <v>59</v>
      </c>
      <c r="C28">
        <v>27.211576461791992</v>
      </c>
      <c r="D28">
        <v>0.24180744588375092</v>
      </c>
      <c r="E28">
        <v>80.7</v>
      </c>
      <c r="F28">
        <v>80</v>
      </c>
      <c r="G28" t="s">
        <v>41</v>
      </c>
      <c r="H28" t="s">
        <v>60</v>
      </c>
      <c r="I28" t="s">
        <v>52</v>
      </c>
      <c r="J28" t="s">
        <v>52</v>
      </c>
      <c r="K28" t="s">
        <v>52</v>
      </c>
      <c r="L28">
        <v>81</v>
      </c>
      <c r="S28" t="s">
        <v>59</v>
      </c>
      <c r="T28" t="s">
        <v>59</v>
      </c>
      <c r="U28">
        <v>17</v>
      </c>
      <c r="V28">
        <v>8</v>
      </c>
    </row>
    <row r="29" spans="1:27" x14ac:dyDescent="0.2">
      <c r="A29" t="s">
        <v>30</v>
      </c>
      <c r="B29" t="s">
        <v>59</v>
      </c>
      <c r="C29">
        <v>25.696647644042969</v>
      </c>
      <c r="D29">
        <v>0.25930279493331909</v>
      </c>
      <c r="E29">
        <v>80.400000000000006</v>
      </c>
      <c r="F29">
        <v>80</v>
      </c>
      <c r="G29" t="s">
        <v>41</v>
      </c>
      <c r="H29" t="s">
        <v>60</v>
      </c>
      <c r="I29" t="s">
        <v>52</v>
      </c>
      <c r="J29" t="s">
        <v>52</v>
      </c>
      <c r="K29" t="s">
        <v>52</v>
      </c>
      <c r="L29">
        <v>81</v>
      </c>
      <c r="S29" t="s">
        <v>59</v>
      </c>
      <c r="T29" t="s">
        <v>59</v>
      </c>
      <c r="U29">
        <v>64</v>
      </c>
      <c r="V29">
        <v>55</v>
      </c>
    </row>
    <row r="30" spans="1:27" x14ac:dyDescent="0.2">
      <c r="A30" t="s">
        <v>31</v>
      </c>
      <c r="B30" t="s">
        <v>66</v>
      </c>
      <c r="C30">
        <v>25.46241569519043</v>
      </c>
      <c r="D30">
        <v>0.83409547805786133</v>
      </c>
      <c r="E30">
        <v>80.3</v>
      </c>
      <c r="F30">
        <v>80</v>
      </c>
      <c r="G30" t="s">
        <v>41</v>
      </c>
      <c r="H30" t="s">
        <v>60</v>
      </c>
      <c r="I30" t="s">
        <v>52</v>
      </c>
      <c r="J30" t="s">
        <v>52</v>
      </c>
      <c r="K30" t="s">
        <v>52</v>
      </c>
      <c r="L30">
        <v>81</v>
      </c>
      <c r="S30" t="s">
        <v>59</v>
      </c>
      <c r="T30" t="s">
        <v>59</v>
      </c>
      <c r="U30">
        <v>55</v>
      </c>
      <c r="V30">
        <v>55</v>
      </c>
    </row>
    <row r="31" spans="1:27" x14ac:dyDescent="0.2">
      <c r="A31" t="s">
        <v>32</v>
      </c>
      <c r="B31" t="s">
        <v>66</v>
      </c>
      <c r="C31">
        <v>27.728994369506836</v>
      </c>
      <c r="D31">
        <v>0.61060786247253418</v>
      </c>
      <c r="E31">
        <v>80.099999999999994</v>
      </c>
      <c r="F31">
        <v>80</v>
      </c>
      <c r="G31" t="s">
        <v>41</v>
      </c>
      <c r="H31" t="s">
        <v>60</v>
      </c>
      <c r="I31" t="s">
        <v>52</v>
      </c>
      <c r="J31" t="s">
        <v>52</v>
      </c>
      <c r="K31" t="s">
        <v>52</v>
      </c>
      <c r="L31">
        <v>81</v>
      </c>
      <c r="S31" t="s">
        <v>59</v>
      </c>
      <c r="T31" t="s">
        <v>59</v>
      </c>
      <c r="U31">
        <v>50</v>
      </c>
      <c r="V31">
        <v>50</v>
      </c>
    </row>
    <row r="32" spans="1:27" x14ac:dyDescent="0.2">
      <c r="A32" t="s">
        <v>33</v>
      </c>
      <c r="B32" t="s">
        <v>41</v>
      </c>
      <c r="C32">
        <v>38.787258148193359</v>
      </c>
      <c r="D32">
        <v>0.54606133699417114</v>
      </c>
      <c r="E32" t="s">
        <v>43</v>
      </c>
      <c r="F32">
        <v>80</v>
      </c>
      <c r="G32" t="s">
        <v>41</v>
      </c>
      <c r="H32" t="s">
        <v>60</v>
      </c>
      <c r="I32" t="s">
        <v>52</v>
      </c>
      <c r="J32" t="s">
        <v>52</v>
      </c>
      <c r="K32" t="s">
        <v>52</v>
      </c>
      <c r="L32">
        <v>81</v>
      </c>
      <c r="S32" t="s">
        <v>41</v>
      </c>
      <c r="T32" t="s">
        <v>41</v>
      </c>
      <c r="U32">
        <f t="shared" si="1"/>
        <v>0</v>
      </c>
      <c r="V32">
        <f t="shared" si="0"/>
        <v>0</v>
      </c>
    </row>
    <row r="33" spans="1:22" x14ac:dyDescent="0.2">
      <c r="A33" t="s">
        <v>34</v>
      </c>
      <c r="B33" t="s">
        <v>41</v>
      </c>
      <c r="C33" t="s">
        <v>52</v>
      </c>
      <c r="D33" t="s">
        <v>52</v>
      </c>
      <c r="E33" t="s">
        <v>43</v>
      </c>
      <c r="F33">
        <v>80</v>
      </c>
      <c r="G33" t="s">
        <v>41</v>
      </c>
      <c r="H33" t="s">
        <v>60</v>
      </c>
      <c r="I33" t="s">
        <v>52</v>
      </c>
      <c r="J33" t="s">
        <v>52</v>
      </c>
      <c r="K33" t="s">
        <v>52</v>
      </c>
      <c r="L33">
        <v>81</v>
      </c>
      <c r="S33" t="s">
        <v>41</v>
      </c>
      <c r="T33" t="s">
        <v>41</v>
      </c>
      <c r="U33">
        <f t="shared" si="1"/>
        <v>0</v>
      </c>
      <c r="V33">
        <f t="shared" si="0"/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2023-06-14T13:58:47Z</dcterms:created>
  <dcterms:modified xsi:type="dcterms:W3CDTF">2023-06-15T18:52:46Z</dcterms:modified>
</cp:coreProperties>
</file>