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qPCR/"/>
    </mc:Choice>
  </mc:AlternateContent>
  <xr:revisionPtr revIDLastSave="0" documentId="8_{DC848714-DAD2-774C-B4CD-F8FE3FB92FCC}" xr6:coauthVersionLast="47" xr6:coauthVersionMax="47" xr10:uidLastSave="{00000000-0000-0000-0000-000000000000}"/>
  <bookViews>
    <workbookView xWindow="35840" yWindow="-10440" windowWidth="38400" windowHeight="21600" activeTab="5" xr2:uid="{A5FB7C04-140F-FA4A-AB6C-B5706FC14AE2}"/>
  </bookViews>
  <sheets>
    <sheet name="ConcentrationList" sheetId="1" r:id="rId1"/>
    <sheet name="DNAPlate" sheetId="2" r:id="rId2"/>
    <sheet name="PCR Plate-Mh" sheetId="3" r:id="rId3"/>
    <sheet name="MhMasterMix" sheetId="5" r:id="rId4"/>
    <sheet name="PCR Plate-ICE" sheetId="4" r:id="rId5"/>
    <sheet name="NewPlateMaps-ICE1" sheetId="6" r:id="rId6"/>
  </sheets>
  <definedNames>
    <definedName name="_xlnm._FilterDatabase" localSheetId="0" hidden="1">ConcentrationList!$A$1:$P$83</definedName>
    <definedName name="_xlnm.Print_Titles" localSheetId="0">ConcentrationList!$1:$1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G75" i="1"/>
  <c r="G74" i="1"/>
  <c r="G73" i="1"/>
  <c r="G72" i="1"/>
  <c r="G71" i="1"/>
  <c r="G70" i="1"/>
  <c r="G69" i="1"/>
  <c r="G67" i="1"/>
  <c r="G65" i="1"/>
  <c r="G62" i="1"/>
  <c r="G61" i="1"/>
  <c r="G59" i="1"/>
  <c r="G57" i="1"/>
  <c r="G56" i="1"/>
  <c r="G54" i="1"/>
  <c r="G53" i="1"/>
  <c r="G52" i="1"/>
  <c r="G50" i="1"/>
  <c r="G49" i="1"/>
  <c r="G45" i="1"/>
  <c r="G42" i="1"/>
  <c r="G41" i="1"/>
  <c r="G40" i="1"/>
  <c r="G34" i="1"/>
  <c r="G33" i="1"/>
  <c r="G29" i="1"/>
  <c r="G28" i="1"/>
  <c r="G27" i="1"/>
  <c r="G26" i="1"/>
  <c r="G23" i="1"/>
  <c r="G22" i="1"/>
  <c r="G82" i="1"/>
  <c r="G81" i="1"/>
  <c r="G20" i="1"/>
  <c r="G19" i="1"/>
  <c r="K2" i="1" l="1"/>
  <c r="J2" i="1" s="1"/>
  <c r="K3" i="1"/>
  <c r="J3" i="1" s="1"/>
  <c r="K5" i="1"/>
  <c r="J5" i="1" s="1"/>
  <c r="K6" i="1"/>
  <c r="L6" i="1" s="1"/>
  <c r="K7" i="1"/>
  <c r="L7" i="1" s="1"/>
  <c r="K9" i="1"/>
  <c r="J9" i="1" s="1"/>
  <c r="K10" i="1"/>
  <c r="L10" i="1" s="1"/>
  <c r="K13" i="1"/>
  <c r="J13" i="1" s="1"/>
  <c r="K15" i="1"/>
  <c r="J15" i="1" s="1"/>
  <c r="K19" i="1"/>
  <c r="L19" i="1" s="1"/>
  <c r="K20" i="1"/>
  <c r="L20" i="1" s="1"/>
  <c r="K21" i="1"/>
  <c r="L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L30" i="1" s="1"/>
  <c r="K31" i="1"/>
  <c r="L31" i="1" s="1"/>
  <c r="K32" i="1"/>
  <c r="L32" i="1" s="1"/>
  <c r="K33" i="1"/>
  <c r="L33" i="1" s="1"/>
  <c r="K34" i="1"/>
  <c r="J34" i="1" s="1"/>
  <c r="K35" i="1"/>
  <c r="J35" i="1" s="1"/>
  <c r="K36" i="1"/>
  <c r="L36" i="1" s="1"/>
  <c r="K37" i="1"/>
  <c r="J37" i="1" s="1"/>
  <c r="K38" i="1"/>
  <c r="J38" i="1" s="1"/>
  <c r="K39" i="1"/>
  <c r="J39" i="1" s="1"/>
  <c r="K40" i="1"/>
  <c r="J40" i="1" s="1"/>
  <c r="K41" i="1"/>
  <c r="J41" i="1" s="1"/>
  <c r="K42" i="1"/>
  <c r="L42" i="1" s="1"/>
  <c r="K43" i="1"/>
  <c r="L43" i="1" s="1"/>
  <c r="K44" i="1"/>
  <c r="L44" i="1" s="1"/>
  <c r="K45" i="1"/>
  <c r="L45" i="1" s="1"/>
  <c r="K46" i="1"/>
  <c r="J46" i="1" s="1"/>
  <c r="K47" i="1"/>
  <c r="J47" i="1" s="1"/>
  <c r="K48" i="1"/>
  <c r="J48" i="1" s="1"/>
  <c r="K49" i="1"/>
  <c r="J49" i="1" s="1"/>
  <c r="K50" i="1"/>
  <c r="J50" i="1" s="1"/>
  <c r="K51" i="1"/>
  <c r="J51" i="1" s="1"/>
  <c r="K52" i="1"/>
  <c r="L52" i="1" s="1"/>
  <c r="K53" i="1"/>
  <c r="J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J59" i="1" s="1"/>
  <c r="K60" i="1"/>
  <c r="L60" i="1" s="1"/>
  <c r="K61" i="1"/>
  <c r="L61" i="1" s="1"/>
  <c r="K62" i="1"/>
  <c r="J62" i="1" s="1"/>
  <c r="K63" i="1"/>
  <c r="J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J71" i="1" s="1"/>
  <c r="K72" i="1"/>
  <c r="L72" i="1" s="1"/>
  <c r="K73" i="1"/>
  <c r="L73" i="1" s="1"/>
  <c r="K74" i="1"/>
  <c r="J74" i="1" s="1"/>
  <c r="K75" i="1"/>
  <c r="L75" i="1" s="1"/>
  <c r="K76" i="1"/>
  <c r="L76" i="1" s="1"/>
  <c r="K77" i="1"/>
  <c r="J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J83" i="1" s="1"/>
  <c r="G18" i="1"/>
  <c r="K18" i="1" s="1"/>
  <c r="J18" i="1" s="1"/>
  <c r="G17" i="1"/>
  <c r="K17" i="1" s="1"/>
  <c r="J17" i="1" s="1"/>
  <c r="G16" i="1"/>
  <c r="K16" i="1" s="1"/>
  <c r="J16" i="1" s="1"/>
  <c r="G14" i="1"/>
  <c r="K14" i="1" s="1"/>
  <c r="G12" i="1"/>
  <c r="K12" i="1" s="1"/>
  <c r="L12" i="1" s="1"/>
  <c r="G11" i="1"/>
  <c r="K11" i="1" s="1"/>
  <c r="L11" i="1" s="1"/>
  <c r="G8" i="1"/>
  <c r="K8" i="1" s="1"/>
  <c r="J8" i="1" s="1"/>
  <c r="G4" i="1"/>
  <c r="K4" i="1" s="1"/>
  <c r="J4" i="1" s="1"/>
  <c r="J7" i="1" l="1"/>
  <c r="J11" i="1"/>
  <c r="J76" i="1"/>
  <c r="L63" i="1"/>
  <c r="L62" i="1"/>
  <c r="L50" i="1"/>
  <c r="J10" i="1"/>
  <c r="L53" i="1"/>
  <c r="L39" i="1"/>
  <c r="L40" i="1"/>
  <c r="L51" i="1"/>
  <c r="L3" i="1"/>
  <c r="L2" i="1"/>
  <c r="J6" i="1"/>
  <c r="J75" i="1"/>
  <c r="J65" i="1"/>
  <c r="J64" i="1"/>
  <c r="L27" i="1"/>
  <c r="L41" i="1"/>
  <c r="J52" i="1"/>
  <c r="L15" i="1"/>
  <c r="J14" i="1"/>
  <c r="L14" i="1"/>
  <c r="J19" i="1"/>
  <c r="L16" i="1"/>
  <c r="L29" i="1"/>
  <c r="L23" i="1"/>
  <c r="L77" i="1"/>
  <c r="L74" i="1"/>
  <c r="L71" i="1"/>
  <c r="L59" i="1"/>
  <c r="L47" i="1"/>
  <c r="J73" i="1"/>
  <c r="J61" i="1"/>
  <c r="J72" i="1"/>
  <c r="J60" i="1"/>
  <c r="J70" i="1"/>
  <c r="J58" i="1"/>
  <c r="J12" i="1"/>
  <c r="J81" i="1"/>
  <c r="J69" i="1"/>
  <c r="J57" i="1"/>
  <c r="J45" i="1"/>
  <c r="J80" i="1"/>
  <c r="J68" i="1"/>
  <c r="J56" i="1"/>
  <c r="J44" i="1"/>
  <c r="L9" i="1"/>
  <c r="J79" i="1"/>
  <c r="J67" i="1"/>
  <c r="J55" i="1"/>
  <c r="J43" i="1"/>
  <c r="J78" i="1"/>
  <c r="J66" i="1"/>
  <c r="J54" i="1"/>
  <c r="J42" i="1"/>
  <c r="L38" i="1"/>
  <c r="J36" i="1"/>
  <c r="L35" i="1"/>
  <c r="L34" i="1"/>
  <c r="J33" i="1"/>
  <c r="J32" i="1"/>
  <c r="J31" i="1"/>
  <c r="J30" i="1"/>
  <c r="L28" i="1"/>
  <c r="L26" i="1"/>
  <c r="L22" i="1"/>
  <c r="L83" i="1"/>
  <c r="J82" i="1"/>
  <c r="J21" i="1"/>
  <c r="J20" i="1"/>
  <c r="L49" i="1"/>
  <c r="L37" i="1"/>
  <c r="L25" i="1"/>
  <c r="L48" i="1"/>
  <c r="L24" i="1"/>
  <c r="L46" i="1"/>
  <c r="L18" i="1"/>
  <c r="L17" i="1"/>
  <c r="L13" i="1"/>
  <c r="L8" i="1"/>
  <c r="L4" i="1"/>
  <c r="L5" i="1"/>
  <c r="B2" i="5"/>
  <c r="B3" i="5" l="1"/>
  <c r="B8" i="5" s="1"/>
  <c r="B4" i="5" l="1"/>
  <c r="B5" i="5" s="1"/>
</calcChain>
</file>

<file path=xl/sharedStrings.xml><?xml version="1.0" encoding="utf-8"?>
<sst xmlns="http://schemas.openxmlformats.org/spreadsheetml/2006/main" count="2115" uniqueCount="249">
  <si>
    <t>Pool</t>
  </si>
  <si>
    <t>LastDNAConc</t>
  </si>
  <si>
    <t>Date</t>
  </si>
  <si>
    <t>MeasuredBy</t>
  </si>
  <si>
    <t>DNA 1</t>
  </si>
  <si>
    <t>A</t>
  </si>
  <si>
    <t>B</t>
  </si>
  <si>
    <t>C</t>
  </si>
  <si>
    <t>D</t>
  </si>
  <si>
    <t>E</t>
  </si>
  <si>
    <t>F</t>
  </si>
  <si>
    <t>G</t>
  </si>
  <si>
    <t>H</t>
  </si>
  <si>
    <t>ST-1</t>
  </si>
  <si>
    <t>ST-2</t>
  </si>
  <si>
    <t>ST-3</t>
  </si>
  <si>
    <t>ST-4</t>
  </si>
  <si>
    <t>ST-5</t>
  </si>
  <si>
    <t>ST-6</t>
  </si>
  <si>
    <t>ST-7</t>
  </si>
  <si>
    <t>NTC</t>
  </si>
  <si>
    <t>NMM</t>
  </si>
  <si>
    <t>NP</t>
  </si>
  <si>
    <t>PCR1</t>
  </si>
  <si>
    <t>PCR2</t>
  </si>
  <si>
    <t>PCR3</t>
  </si>
  <si>
    <t>PCR4</t>
  </si>
  <si>
    <t>NoICE</t>
  </si>
  <si>
    <t>WC</t>
  </si>
  <si>
    <t>DNAPlate</t>
  </si>
  <si>
    <t>qPCRPlate</t>
  </si>
  <si>
    <t>qPCRPos</t>
  </si>
  <si>
    <t>DNAPos</t>
  </si>
  <si>
    <t>A04</t>
  </si>
  <si>
    <t>A05</t>
  </si>
  <si>
    <t>A06</t>
  </si>
  <si>
    <t>A08</t>
  </si>
  <si>
    <t>A09</t>
  </si>
  <si>
    <t>A11</t>
  </si>
  <si>
    <t>A12</t>
  </si>
  <si>
    <t>D01</t>
  </si>
  <si>
    <t>E01</t>
  </si>
  <si>
    <t>F01</t>
  </si>
  <si>
    <t>G01</t>
  </si>
  <si>
    <t>H01</t>
  </si>
  <si>
    <t>A02</t>
  </si>
  <si>
    <t>B02</t>
  </si>
  <si>
    <t>A03</t>
  </si>
  <si>
    <t>B03</t>
  </si>
  <si>
    <t>B04</t>
  </si>
  <si>
    <t>B05</t>
  </si>
  <si>
    <t>C02</t>
  </si>
  <si>
    <t>D02</t>
  </si>
  <si>
    <t>E02</t>
  </si>
  <si>
    <t>F02</t>
  </si>
  <si>
    <t>G02</t>
  </si>
  <si>
    <t>H02</t>
  </si>
  <si>
    <t>C03</t>
  </si>
  <si>
    <t>D03</t>
  </si>
  <si>
    <t>E03</t>
  </si>
  <si>
    <t>F03</t>
  </si>
  <si>
    <t>G03</t>
  </si>
  <si>
    <t>H03</t>
  </si>
  <si>
    <t>C04</t>
  </si>
  <si>
    <t>D04</t>
  </si>
  <si>
    <t>E04</t>
  </si>
  <si>
    <t>F04</t>
  </si>
  <si>
    <t>G04</t>
  </si>
  <si>
    <t>H04</t>
  </si>
  <si>
    <t>C05</t>
  </si>
  <si>
    <t>D05</t>
  </si>
  <si>
    <t>E05</t>
  </si>
  <si>
    <t>F05</t>
  </si>
  <si>
    <t>G05</t>
  </si>
  <si>
    <t>H05</t>
  </si>
  <si>
    <t>B06</t>
  </si>
  <si>
    <t>C06</t>
  </si>
  <si>
    <t>D06</t>
  </si>
  <si>
    <t>E06</t>
  </si>
  <si>
    <t>F06</t>
  </si>
  <si>
    <t>G06</t>
  </si>
  <si>
    <t>H06</t>
  </si>
  <si>
    <t>C07</t>
  </si>
  <si>
    <t>D07</t>
  </si>
  <si>
    <t>E07</t>
  </si>
  <si>
    <t>F07</t>
  </si>
  <si>
    <t>G07</t>
  </si>
  <si>
    <t>H07</t>
  </si>
  <si>
    <t>B08</t>
  </si>
  <si>
    <t>C08</t>
  </si>
  <si>
    <t>D08</t>
  </si>
  <si>
    <t>E08</t>
  </si>
  <si>
    <t>F08</t>
  </si>
  <si>
    <t>G08</t>
  </si>
  <si>
    <t>H08</t>
  </si>
  <si>
    <t>B09</t>
  </si>
  <si>
    <t>C09</t>
  </si>
  <si>
    <t>D09</t>
  </si>
  <si>
    <t>E09</t>
  </si>
  <si>
    <t>F09</t>
  </si>
  <si>
    <t>G09</t>
  </si>
  <si>
    <t>H09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</si>
  <si>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</si>
  <si>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</si>
  <si>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</si>
  <si>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</si>
  <si>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</si>
  <si>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</si>
  <si>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</si>
  <si>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</si>
  <si>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</si>
  <si>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</si>
  <si>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</si>
  <si>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</si>
  <si>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</si>
  <si>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</si>
  <si>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C01</t>
  </si>
  <si>
    <t>DilutionLTE</t>
  </si>
  <si>
    <t>DilutionDNA</t>
  </si>
  <si>
    <t>Samples</t>
  </si>
  <si>
    <t>2x Perfecta MM</t>
  </si>
  <si>
    <t>Primer (dilute)</t>
  </si>
  <si>
    <t>Total Volume</t>
  </si>
  <si>
    <t>Volume/strip</t>
  </si>
  <si>
    <t>Volume/rxn</t>
  </si>
  <si>
    <t>Primer</t>
  </si>
  <si>
    <t>Sample</t>
  </si>
  <si>
    <t>Trial</t>
  </si>
  <si>
    <t>TxGroup</t>
  </si>
  <si>
    <t>Treat</t>
  </si>
  <si>
    <t>Time</t>
  </si>
  <si>
    <t>F19</t>
  </si>
  <si>
    <t>NO META</t>
  </si>
  <si>
    <t>NO</t>
  </si>
  <si>
    <t>Arrival</t>
  </si>
  <si>
    <t>F20</t>
  </si>
  <si>
    <t>F21</t>
  </si>
  <si>
    <t>F19_CN_WK3_1</t>
  </si>
  <si>
    <t>F19_CN_WK3_2</t>
  </si>
  <si>
    <t>F19_CN_WK3_3</t>
  </si>
  <si>
    <t>WK3</t>
  </si>
  <si>
    <t>F19_CN_ARR_1</t>
  </si>
  <si>
    <t>F19_CN_ARR_2</t>
  </si>
  <si>
    <t>F19_CN_ARR_3</t>
  </si>
  <si>
    <t>F19_CT_ARR_1</t>
  </si>
  <si>
    <t>F19_CT_ARR_2</t>
  </si>
  <si>
    <t>YES</t>
  </si>
  <si>
    <t>F19_CT_WK3_1</t>
  </si>
  <si>
    <t>F19_CT_WK3_2</t>
  </si>
  <si>
    <t>F19_MN_ARR_1</t>
  </si>
  <si>
    <t>F19_MN_ARR_2</t>
  </si>
  <si>
    <t>F19_MN_ARR_3</t>
  </si>
  <si>
    <t>META</t>
  </si>
  <si>
    <t>F19_MN_WK3_1</t>
  </si>
  <si>
    <t>F19_MN_WK3_2</t>
  </si>
  <si>
    <t>F19_MN_WK3_3</t>
  </si>
  <si>
    <t>F19_MT_ARR_1</t>
  </si>
  <si>
    <t>F19_MT_ARR_2</t>
  </si>
  <si>
    <t>F19_MT_WK3_1</t>
  </si>
  <si>
    <t>F19_MT_WK3_2</t>
  </si>
  <si>
    <t>F20_CN_ARR_1</t>
  </si>
  <si>
    <t>F20_CN_ARR_2</t>
  </si>
  <si>
    <t>F20_CN_ARR_3</t>
  </si>
  <si>
    <t>F20_CN_WK3_1</t>
  </si>
  <si>
    <t>F20_CN_WK3_2</t>
  </si>
  <si>
    <t>F20_CN_WK3_3</t>
  </si>
  <si>
    <t>F20_CT_ARR_1</t>
  </si>
  <si>
    <t>F20_CT_ARR_2</t>
  </si>
  <si>
    <t>F20_CT_WK3_1</t>
  </si>
  <si>
    <t>F20_CT_WK3_2</t>
  </si>
  <si>
    <t>F20_MN_ARR_1</t>
  </si>
  <si>
    <t>F20_MN_ARR_2</t>
  </si>
  <si>
    <t>F20_MN_ARR_3</t>
  </si>
  <si>
    <t>F20_MN_WK3_1</t>
  </si>
  <si>
    <t>F20_MN_WK3_2</t>
  </si>
  <si>
    <t>F20_MN_WK3_3</t>
  </si>
  <si>
    <t>F20_MT_ARR_1</t>
  </si>
  <si>
    <t>F20_MT_ARR_2</t>
  </si>
  <si>
    <t>F20_MT_WK3_1</t>
  </si>
  <si>
    <t>F20_MT_WK3_2</t>
  </si>
  <si>
    <t>S21_CN_ARR_1</t>
  </si>
  <si>
    <t>S21_CN_ARR_2</t>
  </si>
  <si>
    <t>S21_CN_ARR_3</t>
  </si>
  <si>
    <t>S21</t>
  </si>
  <si>
    <t>S21_CN_WK3_1</t>
  </si>
  <si>
    <t>S21_CN_WK3_2</t>
  </si>
  <si>
    <t>S21_CN_WK3_3</t>
  </si>
  <si>
    <t>S21_CT_ARR_1</t>
  </si>
  <si>
    <t>S21_CT_ARR_2</t>
  </si>
  <si>
    <t>S21_CT_ARR_3</t>
  </si>
  <si>
    <t>S21_CT_WK3_1</t>
  </si>
  <si>
    <t>S21_CT_WK3_2</t>
  </si>
  <si>
    <t>S21_CT_WK3_3</t>
  </si>
  <si>
    <t>S21_MN_ARR_1</t>
  </si>
  <si>
    <t>S21_MN_ARR_2</t>
  </si>
  <si>
    <t>S21_MN_ARR_3</t>
  </si>
  <si>
    <t>S21_MN_WK3_1</t>
  </si>
  <si>
    <t>S21_MN_WK3_2</t>
  </si>
  <si>
    <t>S21_MN_WK3_3</t>
  </si>
  <si>
    <t>S21_MT_ARR_1</t>
  </si>
  <si>
    <t>S21_MT_WK3_1</t>
  </si>
  <si>
    <t>F21_CN_ARR_1</t>
  </si>
  <si>
    <t>F21_CN_ARR_2</t>
  </si>
  <si>
    <t>F21_CN_ARR_3</t>
  </si>
  <si>
    <t>F21_CN_WK3_1</t>
  </si>
  <si>
    <t>F21_CN_WK3_2</t>
  </si>
  <si>
    <t>F21_CN_WK3_3</t>
  </si>
  <si>
    <t>F21_CT_ARR_1</t>
  </si>
  <si>
    <t>F21_CT_ARR_2</t>
  </si>
  <si>
    <t>F21_CT_ARR_3</t>
  </si>
  <si>
    <t>F21_CT_WK3_1</t>
  </si>
  <si>
    <t>F21_CT_WK3_2</t>
  </si>
  <si>
    <t>F21_CT_WK3_3</t>
  </si>
  <si>
    <t>F21_MN_ARR_1</t>
  </si>
  <si>
    <t>F21_MN_ARR_2</t>
  </si>
  <si>
    <t>F21_MN_ARR_3</t>
  </si>
  <si>
    <t>F21_MN_WK3_1</t>
  </si>
  <si>
    <t>F21_MN_WK3_2</t>
  </si>
  <si>
    <t>F21_MN_WK3_3</t>
  </si>
  <si>
    <t>LBRD_C_ARR</t>
  </si>
  <si>
    <t>LBRD_C_WK3</t>
  </si>
  <si>
    <t>LBRD_M_ARR</t>
  </si>
  <si>
    <t>LBRD_M_WK3</t>
  </si>
  <si>
    <t>ALL</t>
  </si>
  <si>
    <t>CheckVol</t>
  </si>
  <si>
    <t>Notes</t>
  </si>
  <si>
    <t>Vol OK</t>
  </si>
  <si>
    <t>NA</t>
  </si>
  <si>
    <t>Conc</t>
  </si>
  <si>
    <t>2 uL from F21_CN_ARR_2 was placed on wall of tube, but liquid from bottom was pulled off and placed in new tube</t>
  </si>
  <si>
    <t>Redo1</t>
  </si>
  <si>
    <t>Redo2</t>
  </si>
  <si>
    <t>Redo3</t>
  </si>
  <si>
    <t>Redo4</t>
  </si>
  <si>
    <t>Redo5</t>
  </si>
  <si>
    <t>Redo6</t>
  </si>
  <si>
    <t>NoICE-spike</t>
  </si>
  <si>
    <t>EMPTY</t>
  </si>
  <si>
    <t>ICE1-1</t>
  </si>
  <si>
    <t>ICE1-2</t>
  </si>
  <si>
    <t>ICE1-3</t>
  </si>
  <si>
    <t>H_12-01</t>
  </si>
  <si>
    <t>H_12-02</t>
  </si>
  <si>
    <t>H_12-03</t>
  </si>
  <si>
    <t>H_12-04</t>
  </si>
  <si>
    <t>H_12-05</t>
  </si>
  <si>
    <t>H_12-06</t>
  </si>
  <si>
    <t>HP_03-01</t>
  </si>
  <si>
    <t>HP_03-02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</si>
</sst>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4" fillId="0" borderId="0" xfId="0" applyFont="1"/>
    <xf numFmtId="0" fontId="2" fillId="3" borderId="1" xfId="0" applyFont="1" applyFill="1" applyBorder="1"/>
    <xf numFmtId="0" fontId="2" fillId="3" borderId="5" xfId="0" applyFont="1" applyFill="1" applyBorder="1"/>
    <xf numFmtId="0" fontId="2" fillId="3" borderId="8" xfId="0" applyFont="1" applyFill="1" applyBorder="1"/>
    <xf numFmtId="0" fontId="2" fillId="3" borderId="12" xfId="0" applyFont="1" applyFill="1" applyBorder="1"/>
    <xf numFmtId="0" fontId="2" fillId="4" borderId="1" xfId="0" applyFont="1" applyFill="1" applyBorder="1"/>
    <xf numFmtId="0" fontId="2" fillId="4" borderId="8" xfId="0" applyFont="1" applyFill="1" applyBorder="1"/>
    <xf numFmtId="0" fontId="2" fillId="4" borderId="12" xfId="0" applyFont="1" applyFill="1" applyBorder="1"/>
    <xf numFmtId="0" fontId="2" fillId="4" borderId="5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5" borderId="12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9" xfId="0" applyFont="1" applyFill="1" applyBorder="1"/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22C74-B730-034B-8B12-B4D32BC9A83F}" name="Table1" displayName="Table1" ref="A1:S83" totalsRowShown="0">
  <autoFilter ref="A1:S83" xr:uid="{683F0177-76B4-D747-B6ED-2F5DD44EF163}"/>
  <tableColumns count="19">
    <tableColumn id="1" xr3:uid="{C6783147-F729-D34D-9592-0BB0459B19A3}" name="Sample"/>
    <tableColumn id="20" xr3:uid="{6DA30976-FA90-A644-8339-4B88279BE63F}" name="Trial"/>
    <tableColumn id="19" xr3:uid="{C9E6AEE9-E266-5549-B526-C77CD6750419}" name="TxGroup"/>
    <tableColumn id="18" xr3:uid="{432CA523-8AAE-1843-AE46-809463884650}" name="Treat"/>
    <tableColumn id="17" xr3:uid="{E9E417D9-0E8B-4148-9DDF-0D41A031711B}" name="Time"/>
    <tableColumn id="23" xr3:uid="{113B7783-6ECD-E14A-9474-A68C3D729A32}" name="Pool"/>
    <tableColumn id="3" xr3:uid="{18783891-1A4A-B144-8233-35E5FEA0079E}" name="LastDNAConc"/>
    <tableColumn id="4" xr3:uid="{AC147A63-C4F7-E942-9C08-EEBCA7A7A60A}" name="Date"/>
    <tableColumn id="5" xr3:uid="{88F08764-3BD9-D249-A435-6457B7963D87}" name="MeasuredBy"/>
    <tableColumn id="13" xr3:uid="{E39CAA11-128C-184D-AE2E-00DCB00C416F}" name="DilutionLTE" dataDxfId="2">
      <calculatedColumnFormula>40-Table1[[#This Row],[DilutionDNA]]</calculatedColumnFormula>
    </tableColumn>
    <tableColumn id="14" xr3:uid="{10008F05-A744-8243-A304-B7E8E06CFE06}" name="DilutionDNA" dataDxfId="1">
      <calculatedColumnFormula>(5*40)/Table1[[#This Row],[LastDNAConc]]</calculatedColumnFormula>
    </tableColumn>
    <tableColumn id="16" xr3:uid="{3D610706-7482-8448-9791-3DC79185716F}" name="CheckVol" dataDxfId="0">
      <calculatedColumnFormula>IF(Table1[[#This Row],[DilutionDNA]]&gt;15,"Y","N")</calculatedColumnFormula>
    </tableColumn>
    <tableColumn id="11" xr3:uid="{2A5E26D6-0812-6D49-81B0-5FA32CEA9603}" name="DNAPlate"/>
    <tableColumn id="12" xr3:uid="{85A2AD6E-C177-3545-AC0B-39D791100E28}" name="DNAPos"/>
    <tableColumn id="10" xr3:uid="{5A651710-F079-A043-875F-089897646EB6}" name="qPCRPlate"/>
    <tableColumn id="8" xr3:uid="{019BEFDA-4B18-9742-80A9-3F97535C99CD}" name="qPCRPos"/>
    <tableColumn id="24" xr3:uid="{02C2EEAD-23F6-D34D-B2B4-DF4FD7F11C24}" name="Vol OK"/>
    <tableColumn id="26" xr3:uid="{88729A54-0869-1F46-A343-8954B190C2DB}" name="Conc"/>
    <tableColumn id="27" xr3:uid="{7AFFE86E-A4EB-7946-BB60-90C5CF4F63B1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0177-76B4-D747-B6ED-2F5DD44EF163}">
  <sheetPr>
    <pageSetUpPr fitToPage="1"/>
  </sheetPr>
  <dimension ref="A1:S83"/>
  <sheetViews>
    <sheetView workbookViewId="0">
      <selection activeCell="A82" sqref="A82:A83"/>
    </sheetView>
  </sheetViews>
  <sheetFormatPr baseColWidth="10" defaultRowHeight="16" x14ac:dyDescent="0.2"/>
  <cols>
    <col min="1" max="1" width="15" bestFit="1" customWidth="1"/>
    <col min="7" max="7" width="14.5" customWidth="1"/>
    <col min="9" max="9" width="13.83203125" customWidth="1"/>
    <col min="10" max="14" width="17.33203125" customWidth="1"/>
    <col min="15" max="15" width="18.1640625" bestFit="1" customWidth="1"/>
    <col min="19" max="19" width="99" bestFit="1" customWidth="1"/>
  </cols>
  <sheetData>
    <row r="1" spans="1:19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0</v>
      </c>
      <c r="G1" t="s">
        <v>1</v>
      </c>
      <c r="H1" t="s">
        <v>2</v>
      </c>
      <c r="I1" t="s">
        <v>3</v>
      </c>
      <c r="J1" t="s">
        <v>117</v>
      </c>
      <c r="K1" t="s">
        <v>118</v>
      </c>
      <c r="L1" t="s">
        <v>224</v>
      </c>
      <c r="M1" t="s">
        <v>29</v>
      </c>
      <c r="N1" t="s">
        <v>32</v>
      </c>
      <c r="O1" t="s">
        <v>30</v>
      </c>
      <c r="P1" t="s">
        <v>31</v>
      </c>
      <c r="Q1" t="s">
        <v>226</v>
      </c>
      <c r="R1" t="s">
        <v>228</v>
      </c>
      <c r="S1" t="s">
        <v>225</v>
      </c>
    </row>
    <row r="2" spans="1:19" x14ac:dyDescent="0.2">
      <c r="A2" t="s">
        <v>141</v>
      </c>
      <c r="B2" t="s">
        <v>131</v>
      </c>
      <c r="C2" t="s">
        <v>132</v>
      </c>
      <c r="D2" t="s">
        <v>133</v>
      </c>
      <c r="E2" t="s">
        <v>134</v>
      </c>
      <c r="F2">
        <v>1</v>
      </c>
      <c r="G2">
        <v>41.2</v>
      </c>
      <c r="H2" s="16">
        <v>45042</v>
      </c>
      <c r="I2" t="s">
        <v>28</v>
      </c>
      <c r="J2" s="15">
        <f>40-Table1[[#This Row],[DilutionDNA]]</f>
        <v>35.145631067961162</v>
      </c>
      <c r="K2" s="15">
        <f>(5*40)/Table1[[#This Row],[LastDNAConc]]</f>
        <v>4.8543689320388346</v>
      </c>
      <c r="L2" s="15" t="str">
        <f>IF(Table1[[#This Row],[DilutionDNA]]&gt;15,"Y","N")</f>
        <v>N</v>
      </c>
      <c r="M2">
        <v>1</v>
      </c>
      <c r="N2" t="s">
        <v>116</v>
      </c>
      <c r="O2">
        <v>1</v>
      </c>
      <c r="P2" t="s">
        <v>51</v>
      </c>
      <c r="Q2" t="s">
        <v>227</v>
      </c>
    </row>
    <row r="3" spans="1:19" x14ac:dyDescent="0.2">
      <c r="A3" t="s">
        <v>142</v>
      </c>
      <c r="B3" t="s">
        <v>131</v>
      </c>
      <c r="C3" t="s">
        <v>132</v>
      </c>
      <c r="D3" t="s">
        <v>133</v>
      </c>
      <c r="E3" t="s">
        <v>134</v>
      </c>
      <c r="F3">
        <v>2</v>
      </c>
      <c r="G3">
        <v>25.8</v>
      </c>
      <c r="H3" s="16">
        <v>45042</v>
      </c>
      <c r="I3" t="s">
        <v>28</v>
      </c>
      <c r="J3" s="15">
        <f>40-Table1[[#This Row],[DilutionDNA]]</f>
        <v>32.248062015503876</v>
      </c>
      <c r="K3" s="15">
        <f>(5*40)/Table1[[#This Row],[LastDNAConc]]</f>
        <v>7.7519379844961236</v>
      </c>
      <c r="L3" s="15" t="str">
        <f>IF(Table1[[#This Row],[DilutionDNA]]&gt;15,"Y","N")</f>
        <v>N</v>
      </c>
      <c r="M3">
        <v>1</v>
      </c>
      <c r="N3" t="s">
        <v>40</v>
      </c>
      <c r="O3">
        <v>1</v>
      </c>
      <c r="P3" t="s">
        <v>52</v>
      </c>
      <c r="Q3" t="s">
        <v>227</v>
      </c>
    </row>
    <row r="4" spans="1:19" x14ac:dyDescent="0.2">
      <c r="A4" t="s">
        <v>143</v>
      </c>
      <c r="B4" t="s">
        <v>131</v>
      </c>
      <c r="C4" t="s">
        <v>132</v>
      </c>
      <c r="D4" t="s">
        <v>133</v>
      </c>
      <c r="E4" t="s">
        <v>134</v>
      </c>
      <c r="F4">
        <v>3</v>
      </c>
      <c r="G4">
        <f>AVERAGE(30.5,30.2)</f>
        <v>30.35</v>
      </c>
      <c r="H4" s="16">
        <v>45042</v>
      </c>
      <c r="I4" t="s">
        <v>28</v>
      </c>
      <c r="J4" s="15">
        <f>40-Table1[[#This Row],[DilutionDNA]]</f>
        <v>33.410214168039538</v>
      </c>
      <c r="K4" s="15">
        <f>(5*40)/Table1[[#This Row],[LastDNAConc]]</f>
        <v>6.5897858319604614</v>
      </c>
      <c r="L4" s="15" t="str">
        <f>IF(Table1[[#This Row],[DilutionDNA]]&gt;15,"Y","N")</f>
        <v>N</v>
      </c>
      <c r="M4">
        <v>1</v>
      </c>
      <c r="N4" t="s">
        <v>41</v>
      </c>
      <c r="O4">
        <v>1</v>
      </c>
      <c r="P4" t="s">
        <v>53</v>
      </c>
      <c r="Q4" t="s">
        <v>227</v>
      </c>
    </row>
    <row r="5" spans="1:19" x14ac:dyDescent="0.2">
      <c r="A5" t="s">
        <v>137</v>
      </c>
      <c r="B5" t="s">
        <v>131</v>
      </c>
      <c r="C5" t="s">
        <v>132</v>
      </c>
      <c r="D5" t="s">
        <v>133</v>
      </c>
      <c r="E5" t="s">
        <v>140</v>
      </c>
      <c r="F5">
        <v>1</v>
      </c>
      <c r="G5">
        <v>21.3</v>
      </c>
      <c r="H5" s="16">
        <v>45042</v>
      </c>
      <c r="I5" t="s">
        <v>28</v>
      </c>
      <c r="J5" s="15">
        <f>40-Table1[[#This Row],[DilutionDNA]]</f>
        <v>30.610328638497652</v>
      </c>
      <c r="K5" s="15">
        <f>(5*40)/Table1[[#This Row],[LastDNAConc]]</f>
        <v>9.3896713615023479</v>
      </c>
      <c r="L5" s="15" t="str">
        <f>IF(Table1[[#This Row],[DilutionDNA]]&gt;15,"Y","N")</f>
        <v>N</v>
      </c>
      <c r="M5">
        <v>1</v>
      </c>
      <c r="N5" t="s">
        <v>42</v>
      </c>
      <c r="O5">
        <v>1</v>
      </c>
      <c r="P5" t="s">
        <v>54</v>
      </c>
      <c r="Q5" t="s">
        <v>227</v>
      </c>
    </row>
    <row r="6" spans="1:19" x14ac:dyDescent="0.2">
      <c r="A6" t="s">
        <v>138</v>
      </c>
      <c r="B6" t="s">
        <v>131</v>
      </c>
      <c r="C6" t="s">
        <v>132</v>
      </c>
      <c r="D6" t="s">
        <v>133</v>
      </c>
      <c r="E6" t="s">
        <v>140</v>
      </c>
      <c r="F6">
        <v>2</v>
      </c>
      <c r="G6">
        <v>16.8</v>
      </c>
      <c r="H6" s="16">
        <v>45042</v>
      </c>
      <c r="I6" t="s">
        <v>28</v>
      </c>
      <c r="J6" s="15">
        <f>40-Table1[[#This Row],[DilutionDNA]]</f>
        <v>28.095238095238095</v>
      </c>
      <c r="K6" s="15">
        <f>(5*40)/Table1[[#This Row],[LastDNAConc]]</f>
        <v>11.904761904761905</v>
      </c>
      <c r="L6" s="15" t="str">
        <f>IF(Table1[[#This Row],[DilutionDNA]]&gt;15,"Y","N")</f>
        <v>N</v>
      </c>
      <c r="M6">
        <v>1</v>
      </c>
      <c r="N6" t="s">
        <v>43</v>
      </c>
      <c r="O6">
        <v>1</v>
      </c>
      <c r="P6" t="s">
        <v>55</v>
      </c>
      <c r="Q6" t="s">
        <v>227</v>
      </c>
    </row>
    <row r="7" spans="1:19" x14ac:dyDescent="0.2">
      <c r="A7" t="s">
        <v>139</v>
      </c>
      <c r="B7" t="s">
        <v>131</v>
      </c>
      <c r="C7" t="s">
        <v>132</v>
      </c>
      <c r="D7" t="s">
        <v>133</v>
      </c>
      <c r="E7" t="s">
        <v>140</v>
      </c>
      <c r="F7">
        <v>3</v>
      </c>
      <c r="G7">
        <v>27.5</v>
      </c>
      <c r="H7" s="16">
        <v>45042</v>
      </c>
      <c r="I7" t="s">
        <v>28</v>
      </c>
      <c r="J7" s="15">
        <f>40-Table1[[#This Row],[DilutionDNA]]</f>
        <v>32.727272727272727</v>
      </c>
      <c r="K7" s="15">
        <f>(5*40)/Table1[[#This Row],[LastDNAConc]]</f>
        <v>7.2727272727272725</v>
      </c>
      <c r="L7" s="15" t="str">
        <f>IF(Table1[[#This Row],[DilutionDNA]]&gt;15,"Y","N")</f>
        <v>N</v>
      </c>
      <c r="M7">
        <v>1</v>
      </c>
      <c r="N7" t="s">
        <v>44</v>
      </c>
      <c r="O7">
        <v>1</v>
      </c>
      <c r="P7" t="s">
        <v>56</v>
      </c>
      <c r="Q7" t="s">
        <v>227</v>
      </c>
    </row>
    <row r="8" spans="1:19" x14ac:dyDescent="0.2">
      <c r="A8" t="s">
        <v>144</v>
      </c>
      <c r="B8" t="s">
        <v>131</v>
      </c>
      <c r="C8" t="s">
        <v>132</v>
      </c>
      <c r="D8" t="s">
        <v>146</v>
      </c>
      <c r="E8" t="s">
        <v>134</v>
      </c>
      <c r="F8">
        <v>4</v>
      </c>
      <c r="G8">
        <f>AVERAGE(32.6,32.1)</f>
        <v>32.35</v>
      </c>
      <c r="H8" s="16">
        <v>45042</v>
      </c>
      <c r="I8" t="s">
        <v>28</v>
      </c>
      <c r="J8" s="15">
        <f>40-Table1[[#This Row],[DilutionDNA]]</f>
        <v>33.817619783616692</v>
      </c>
      <c r="K8" s="15">
        <f>(5*40)/Table1[[#This Row],[LastDNAConc]]</f>
        <v>6.182380216383307</v>
      </c>
      <c r="L8" s="15" t="str">
        <f>IF(Table1[[#This Row],[DilutionDNA]]&gt;15,"Y","N")</f>
        <v>N</v>
      </c>
      <c r="M8">
        <v>1</v>
      </c>
      <c r="N8" t="s">
        <v>45</v>
      </c>
      <c r="O8">
        <v>1</v>
      </c>
      <c r="P8" t="s">
        <v>47</v>
      </c>
      <c r="Q8" t="s">
        <v>227</v>
      </c>
    </row>
    <row r="9" spans="1:19" x14ac:dyDescent="0.2">
      <c r="A9" t="s">
        <v>145</v>
      </c>
      <c r="B9" t="s">
        <v>131</v>
      </c>
      <c r="C9" t="s">
        <v>132</v>
      </c>
      <c r="D9" t="s">
        <v>146</v>
      </c>
      <c r="E9" t="s">
        <v>134</v>
      </c>
      <c r="F9">
        <v>5</v>
      </c>
      <c r="G9">
        <v>35.5</v>
      </c>
      <c r="H9" s="16">
        <v>45042</v>
      </c>
      <c r="I9" t="s">
        <v>28</v>
      </c>
      <c r="J9" s="15">
        <f>40-Table1[[#This Row],[DilutionDNA]]</f>
        <v>34.366197183098592</v>
      </c>
      <c r="K9" s="15">
        <f>(5*40)/Table1[[#This Row],[LastDNAConc]]</f>
        <v>5.6338028169014081</v>
      </c>
      <c r="L9" s="15" t="str">
        <f>IF(Table1[[#This Row],[DilutionDNA]]&gt;15,"Y","N")</f>
        <v>N</v>
      </c>
      <c r="M9">
        <v>1</v>
      </c>
      <c r="N9" t="s">
        <v>46</v>
      </c>
      <c r="O9">
        <v>1</v>
      </c>
      <c r="P9" t="s">
        <v>48</v>
      </c>
      <c r="Q9" t="s">
        <v>227</v>
      </c>
    </row>
    <row r="10" spans="1:19" x14ac:dyDescent="0.2">
      <c r="A10" t="s">
        <v>147</v>
      </c>
      <c r="B10" t="s">
        <v>131</v>
      </c>
      <c r="C10" t="s">
        <v>132</v>
      </c>
      <c r="D10" t="s">
        <v>146</v>
      </c>
      <c r="E10" t="s">
        <v>140</v>
      </c>
      <c r="F10">
        <v>4</v>
      </c>
      <c r="G10">
        <v>29</v>
      </c>
      <c r="H10" s="16">
        <v>45042</v>
      </c>
      <c r="I10" t="s">
        <v>28</v>
      </c>
      <c r="J10" s="15">
        <f>40-Table1[[#This Row],[DilutionDNA]]</f>
        <v>33.103448275862071</v>
      </c>
      <c r="K10" s="15">
        <f>(5*40)/Table1[[#This Row],[LastDNAConc]]</f>
        <v>6.8965517241379306</v>
      </c>
      <c r="L10" s="15" t="str">
        <f>IF(Table1[[#This Row],[DilutionDNA]]&gt;15,"Y","N")</f>
        <v>N</v>
      </c>
      <c r="M10">
        <v>1</v>
      </c>
      <c r="N10" t="s">
        <v>51</v>
      </c>
      <c r="O10">
        <v>1</v>
      </c>
      <c r="P10" t="s">
        <v>57</v>
      </c>
      <c r="Q10" t="s">
        <v>227</v>
      </c>
    </row>
    <row r="11" spans="1:19" x14ac:dyDescent="0.2">
      <c r="A11" t="s">
        <v>148</v>
      </c>
      <c r="B11" t="s">
        <v>131</v>
      </c>
      <c r="C11" t="s">
        <v>132</v>
      </c>
      <c r="D11" t="s">
        <v>146</v>
      </c>
      <c r="E11" t="s">
        <v>140</v>
      </c>
      <c r="F11">
        <v>5</v>
      </c>
      <c r="G11">
        <f>AVERAGE(20.7,20.8)</f>
        <v>20.75</v>
      </c>
      <c r="H11" s="16">
        <v>45042</v>
      </c>
      <c r="I11" t="s">
        <v>28</v>
      </c>
      <c r="J11" s="15">
        <f>40-Table1[[#This Row],[DilutionDNA]]</f>
        <v>30.361445783132531</v>
      </c>
      <c r="K11" s="15">
        <f>(5*40)/Table1[[#This Row],[LastDNAConc]]</f>
        <v>9.6385542168674707</v>
      </c>
      <c r="L11" s="15" t="str">
        <f>IF(Table1[[#This Row],[DilutionDNA]]&gt;15,"Y","N")</f>
        <v>N</v>
      </c>
      <c r="M11">
        <v>1</v>
      </c>
      <c r="N11" t="s">
        <v>52</v>
      </c>
      <c r="O11">
        <v>1</v>
      </c>
      <c r="P11" t="s">
        <v>58</v>
      </c>
      <c r="Q11" t="s">
        <v>227</v>
      </c>
    </row>
    <row r="12" spans="1:19" x14ac:dyDescent="0.2">
      <c r="A12" t="s">
        <v>149</v>
      </c>
      <c r="B12" t="s">
        <v>131</v>
      </c>
      <c r="C12" t="s">
        <v>152</v>
      </c>
      <c r="D12" t="s">
        <v>133</v>
      </c>
      <c r="E12" t="s">
        <v>134</v>
      </c>
      <c r="F12">
        <v>6</v>
      </c>
      <c r="G12">
        <f>AVERAGE(25.6,25.7)</f>
        <v>25.65</v>
      </c>
      <c r="H12" s="16">
        <v>45042</v>
      </c>
      <c r="I12" t="s">
        <v>28</v>
      </c>
      <c r="J12" s="15">
        <f>40-Table1[[#This Row],[DilutionDNA]]</f>
        <v>32.202729044834307</v>
      </c>
      <c r="K12" s="15">
        <f>(5*40)/Table1[[#This Row],[LastDNAConc]]</f>
        <v>7.7972709551656925</v>
      </c>
      <c r="L12" s="15" t="str">
        <f>IF(Table1[[#This Row],[DilutionDNA]]&gt;15,"Y","N")</f>
        <v>N</v>
      </c>
      <c r="M12">
        <v>1</v>
      </c>
      <c r="N12" t="s">
        <v>53</v>
      </c>
      <c r="O12">
        <v>1</v>
      </c>
      <c r="P12" t="s">
        <v>59</v>
      </c>
      <c r="Q12" t="s">
        <v>227</v>
      </c>
    </row>
    <row r="13" spans="1:19" x14ac:dyDescent="0.2">
      <c r="A13" t="s">
        <v>150</v>
      </c>
      <c r="B13" t="s">
        <v>131</v>
      </c>
      <c r="C13" t="s">
        <v>152</v>
      </c>
      <c r="D13" t="s">
        <v>133</v>
      </c>
      <c r="E13" t="s">
        <v>134</v>
      </c>
      <c r="F13">
        <v>7</v>
      </c>
      <c r="G13">
        <v>21.3</v>
      </c>
      <c r="H13" s="16">
        <v>45042</v>
      </c>
      <c r="I13" t="s">
        <v>28</v>
      </c>
      <c r="J13" s="15">
        <f>40-Table1[[#This Row],[DilutionDNA]]</f>
        <v>30.610328638497652</v>
      </c>
      <c r="K13" s="15">
        <f>(5*40)/Table1[[#This Row],[LastDNAConc]]</f>
        <v>9.3896713615023479</v>
      </c>
      <c r="L13" s="15" t="str">
        <f>IF(Table1[[#This Row],[DilutionDNA]]&gt;15,"Y","N")</f>
        <v>N</v>
      </c>
      <c r="M13">
        <v>1</v>
      </c>
      <c r="N13" t="s">
        <v>54</v>
      </c>
      <c r="O13">
        <v>1</v>
      </c>
      <c r="P13" t="s">
        <v>60</v>
      </c>
      <c r="Q13" t="s">
        <v>227</v>
      </c>
    </row>
    <row r="14" spans="1:19" x14ac:dyDescent="0.2">
      <c r="A14" t="s">
        <v>151</v>
      </c>
      <c r="B14" t="s">
        <v>131</v>
      </c>
      <c r="C14" t="s">
        <v>152</v>
      </c>
      <c r="D14" t="s">
        <v>133</v>
      </c>
      <c r="E14" t="s">
        <v>134</v>
      </c>
      <c r="F14">
        <v>8</v>
      </c>
      <c r="G14">
        <f>AVERAGE(34.7,34.8)</f>
        <v>34.75</v>
      </c>
      <c r="H14" s="16">
        <v>45042</v>
      </c>
      <c r="I14" t="s">
        <v>28</v>
      </c>
      <c r="J14" s="15">
        <f>40-Table1[[#This Row],[DilutionDNA]]</f>
        <v>34.244604316546763</v>
      </c>
      <c r="K14" s="15">
        <f>(5*40)/Table1[[#This Row],[LastDNAConc]]</f>
        <v>5.7553956834532372</v>
      </c>
      <c r="L14" s="15" t="str">
        <f>IF(Table1[[#This Row],[DilutionDNA]]&gt;15,"Y","N")</f>
        <v>N</v>
      </c>
      <c r="M14">
        <v>1</v>
      </c>
      <c r="N14" t="s">
        <v>55</v>
      </c>
      <c r="O14">
        <v>1</v>
      </c>
      <c r="P14" t="s">
        <v>61</v>
      </c>
      <c r="Q14" t="s">
        <v>227</v>
      </c>
    </row>
    <row r="15" spans="1:19" x14ac:dyDescent="0.2">
      <c r="A15" t="s">
        <v>153</v>
      </c>
      <c r="B15" t="s">
        <v>131</v>
      </c>
      <c r="C15" t="s">
        <v>152</v>
      </c>
      <c r="D15" t="s">
        <v>133</v>
      </c>
      <c r="E15" t="s">
        <v>140</v>
      </c>
      <c r="F15">
        <v>6</v>
      </c>
      <c r="G15">
        <v>32.6</v>
      </c>
      <c r="H15" s="16">
        <v>45042</v>
      </c>
      <c r="I15" t="s">
        <v>28</v>
      </c>
      <c r="J15" s="15">
        <f>40-Table1[[#This Row],[DilutionDNA]]</f>
        <v>33.865030674846622</v>
      </c>
      <c r="K15" s="15">
        <f>(5*40)/Table1[[#This Row],[LastDNAConc]]</f>
        <v>6.1349693251533743</v>
      </c>
      <c r="L15" s="15" t="str">
        <f>IF(Table1[[#This Row],[DilutionDNA]]&gt;15,"Y","N")</f>
        <v>N</v>
      </c>
      <c r="M15">
        <v>1</v>
      </c>
      <c r="N15" t="s">
        <v>56</v>
      </c>
      <c r="O15">
        <v>1</v>
      </c>
      <c r="P15" t="s">
        <v>62</v>
      </c>
      <c r="Q15" t="s">
        <v>227</v>
      </c>
    </row>
    <row r="16" spans="1:19" x14ac:dyDescent="0.2">
      <c r="A16" t="s">
        <v>154</v>
      </c>
      <c r="B16" t="s">
        <v>131</v>
      </c>
      <c r="C16" t="s">
        <v>152</v>
      </c>
      <c r="D16" t="s">
        <v>133</v>
      </c>
      <c r="E16" t="s">
        <v>140</v>
      </c>
      <c r="F16">
        <v>7</v>
      </c>
      <c r="G16">
        <f>AVERAGE(34.6,34.7)</f>
        <v>34.650000000000006</v>
      </c>
      <c r="H16" s="16">
        <v>45042</v>
      </c>
      <c r="I16" t="s">
        <v>28</v>
      </c>
      <c r="J16" s="15">
        <f>40-Table1[[#This Row],[DilutionDNA]]</f>
        <v>34.22799422799423</v>
      </c>
      <c r="K16" s="15">
        <f>(5*40)/Table1[[#This Row],[LastDNAConc]]</f>
        <v>5.7720057720057714</v>
      </c>
      <c r="L16" s="15" t="str">
        <f>IF(Table1[[#This Row],[DilutionDNA]]&gt;15,"Y","N")</f>
        <v>N</v>
      </c>
      <c r="M16">
        <v>1</v>
      </c>
      <c r="N16" t="s">
        <v>47</v>
      </c>
      <c r="O16">
        <v>1</v>
      </c>
      <c r="P16" t="s">
        <v>33</v>
      </c>
      <c r="Q16" t="s">
        <v>227</v>
      </c>
    </row>
    <row r="17" spans="1:17" x14ac:dyDescent="0.2">
      <c r="A17" t="s">
        <v>155</v>
      </c>
      <c r="B17" t="s">
        <v>131</v>
      </c>
      <c r="C17" t="s">
        <v>152</v>
      </c>
      <c r="D17" t="s">
        <v>133</v>
      </c>
      <c r="E17" t="s">
        <v>140</v>
      </c>
      <c r="F17">
        <v>8</v>
      </c>
      <c r="G17">
        <f>AVERAGE(34.6,34.5)</f>
        <v>34.549999999999997</v>
      </c>
      <c r="H17" s="16">
        <v>45042</v>
      </c>
      <c r="I17" t="s">
        <v>28</v>
      </c>
      <c r="J17" s="15">
        <f>40-Table1[[#This Row],[DilutionDNA]]</f>
        <v>34.211287988422576</v>
      </c>
      <c r="K17" s="15">
        <f>(5*40)/Table1[[#This Row],[LastDNAConc]]</f>
        <v>5.7887120115774247</v>
      </c>
      <c r="L17" s="15" t="str">
        <f>IF(Table1[[#This Row],[DilutionDNA]]&gt;15,"Y","N")</f>
        <v>N</v>
      </c>
      <c r="M17">
        <v>1</v>
      </c>
      <c r="N17" t="s">
        <v>48</v>
      </c>
      <c r="O17">
        <v>1</v>
      </c>
      <c r="P17" t="s">
        <v>49</v>
      </c>
      <c r="Q17" t="s">
        <v>227</v>
      </c>
    </row>
    <row r="18" spans="1:17" x14ac:dyDescent="0.2">
      <c r="A18" t="s">
        <v>156</v>
      </c>
      <c r="B18" t="s">
        <v>131</v>
      </c>
      <c r="C18" t="s">
        <v>152</v>
      </c>
      <c r="D18" t="s">
        <v>146</v>
      </c>
      <c r="E18" t="s">
        <v>134</v>
      </c>
      <c r="F18">
        <v>9</v>
      </c>
      <c r="G18">
        <f>AVERAGE(44.9,44.6)</f>
        <v>44.75</v>
      </c>
      <c r="H18" s="16">
        <v>45042</v>
      </c>
      <c r="I18" t="s">
        <v>28</v>
      </c>
      <c r="J18" s="15">
        <f>40-Table1[[#This Row],[DilutionDNA]]</f>
        <v>35.530726256983243</v>
      </c>
      <c r="K18" s="15">
        <f>(5*40)/Table1[[#This Row],[LastDNAConc]]</f>
        <v>4.4692737430167595</v>
      </c>
      <c r="L18" s="15" t="str">
        <f>IF(Table1[[#This Row],[DilutionDNA]]&gt;15,"Y","N")</f>
        <v>N</v>
      </c>
      <c r="M18">
        <v>1</v>
      </c>
      <c r="N18" t="s">
        <v>57</v>
      </c>
      <c r="O18">
        <v>1</v>
      </c>
      <c r="P18" t="s">
        <v>63</v>
      </c>
      <c r="Q18" t="s">
        <v>227</v>
      </c>
    </row>
    <row r="19" spans="1:17" x14ac:dyDescent="0.2">
      <c r="A19" t="s">
        <v>157</v>
      </c>
      <c r="B19" t="s">
        <v>131</v>
      </c>
      <c r="C19" t="s">
        <v>152</v>
      </c>
      <c r="D19" t="s">
        <v>146</v>
      </c>
      <c r="E19" t="s">
        <v>134</v>
      </c>
      <c r="F19">
        <v>10</v>
      </c>
      <c r="G19">
        <f>AVERAGE(38.4,38.5)</f>
        <v>38.450000000000003</v>
      </c>
      <c r="H19" s="16">
        <v>45042</v>
      </c>
      <c r="I19" t="s">
        <v>28</v>
      </c>
      <c r="J19" s="15">
        <f>40-Table1[[#This Row],[DilutionDNA]]</f>
        <v>34.798439531859557</v>
      </c>
      <c r="K19" s="15">
        <f>(5*40)/Table1[[#This Row],[LastDNAConc]]</f>
        <v>5.2015604681404417</v>
      </c>
      <c r="L19" s="15" t="str">
        <f>IF(Table1[[#This Row],[DilutionDNA]]&gt;15,"Y","N")</f>
        <v>N</v>
      </c>
      <c r="M19">
        <v>1</v>
      </c>
      <c r="N19" t="s">
        <v>58</v>
      </c>
      <c r="O19">
        <v>1</v>
      </c>
      <c r="P19" t="s">
        <v>64</v>
      </c>
      <c r="Q19" t="s">
        <v>227</v>
      </c>
    </row>
    <row r="20" spans="1:17" x14ac:dyDescent="0.2">
      <c r="A20" t="s">
        <v>158</v>
      </c>
      <c r="B20" t="s">
        <v>131</v>
      </c>
      <c r="C20" t="s">
        <v>152</v>
      </c>
      <c r="D20" t="s">
        <v>146</v>
      </c>
      <c r="E20" t="s">
        <v>140</v>
      </c>
      <c r="F20">
        <v>9</v>
      </c>
      <c r="G20">
        <f>AVERAGE(29.6,29.2)</f>
        <v>29.4</v>
      </c>
      <c r="H20" s="16">
        <v>45042</v>
      </c>
      <c r="I20" t="s">
        <v>28</v>
      </c>
      <c r="J20" s="15">
        <f>40-Table1[[#This Row],[DilutionDNA]]</f>
        <v>33.197278911564624</v>
      </c>
      <c r="K20" s="15">
        <f>(5*40)/Table1[[#This Row],[LastDNAConc]]</f>
        <v>6.8027210884353746</v>
      </c>
      <c r="L20" s="15" t="str">
        <f>IF(Table1[[#This Row],[DilutionDNA]]&gt;15,"Y","N")</f>
        <v>N</v>
      </c>
      <c r="M20">
        <v>1</v>
      </c>
      <c r="N20" t="s">
        <v>59</v>
      </c>
      <c r="O20">
        <v>1</v>
      </c>
      <c r="P20" t="s">
        <v>65</v>
      </c>
      <c r="Q20" t="s">
        <v>227</v>
      </c>
    </row>
    <row r="21" spans="1:17" x14ac:dyDescent="0.2">
      <c r="A21" t="s">
        <v>159</v>
      </c>
      <c r="B21" t="s">
        <v>131</v>
      </c>
      <c r="C21" t="s">
        <v>152</v>
      </c>
      <c r="D21" t="s">
        <v>146</v>
      </c>
      <c r="E21" t="s">
        <v>140</v>
      </c>
      <c r="F21">
        <v>10</v>
      </c>
      <c r="G21">
        <v>30.6</v>
      </c>
      <c r="H21" s="16">
        <v>45042</v>
      </c>
      <c r="I21" t="s">
        <v>28</v>
      </c>
      <c r="J21" s="15">
        <f>40-Table1[[#This Row],[DilutionDNA]]</f>
        <v>33.464052287581701</v>
      </c>
      <c r="K21" s="15">
        <f>(5*40)/Table1[[#This Row],[LastDNAConc]]</f>
        <v>6.5359477124183005</v>
      </c>
      <c r="L21" s="15" t="str">
        <f>IF(Table1[[#This Row],[DilutionDNA]]&gt;15,"Y","N")</f>
        <v>N</v>
      </c>
      <c r="M21">
        <v>1</v>
      </c>
      <c r="N21" t="s">
        <v>60</v>
      </c>
      <c r="O21">
        <v>1</v>
      </c>
      <c r="P21" t="s">
        <v>66</v>
      </c>
      <c r="Q21" t="s">
        <v>227</v>
      </c>
    </row>
    <row r="22" spans="1:17" x14ac:dyDescent="0.2">
      <c r="A22" t="s">
        <v>160</v>
      </c>
      <c r="B22" t="s">
        <v>135</v>
      </c>
      <c r="C22" t="s">
        <v>132</v>
      </c>
      <c r="D22" t="s">
        <v>133</v>
      </c>
      <c r="E22" t="s">
        <v>134</v>
      </c>
      <c r="F22">
        <v>11</v>
      </c>
      <c r="G22">
        <f>AVERAGE(44.7,44.2)</f>
        <v>44.45</v>
      </c>
      <c r="H22" s="16">
        <v>45042</v>
      </c>
      <c r="I22" t="s">
        <v>28</v>
      </c>
      <c r="J22" s="15">
        <f>40-Table1[[#This Row],[DilutionDNA]]</f>
        <v>35.500562429696288</v>
      </c>
      <c r="K22" s="15">
        <f>(5*40)/Table1[[#This Row],[LastDNAConc]]</f>
        <v>4.4994375703037122</v>
      </c>
      <c r="L22" s="15" t="str">
        <f>IF(Table1[[#This Row],[DilutionDNA]]&gt;15,"Y","N")</f>
        <v>N</v>
      </c>
      <c r="M22">
        <v>1</v>
      </c>
      <c r="N22" t="s">
        <v>61</v>
      </c>
      <c r="O22">
        <v>1</v>
      </c>
      <c r="P22" t="s">
        <v>67</v>
      </c>
      <c r="Q22" t="s">
        <v>227</v>
      </c>
    </row>
    <row r="23" spans="1:17" x14ac:dyDescent="0.2">
      <c r="A23" t="s">
        <v>161</v>
      </c>
      <c r="B23" t="s">
        <v>135</v>
      </c>
      <c r="C23" t="s">
        <v>132</v>
      </c>
      <c r="D23" t="s">
        <v>133</v>
      </c>
      <c r="E23" t="s">
        <v>134</v>
      </c>
      <c r="F23">
        <v>12</v>
      </c>
      <c r="G23">
        <f>AVERAGE(46.2,46.5)</f>
        <v>46.35</v>
      </c>
      <c r="H23" s="16">
        <v>45042</v>
      </c>
      <c r="I23" t="s">
        <v>28</v>
      </c>
      <c r="J23" s="15">
        <f>40-Table1[[#This Row],[DilutionDNA]]</f>
        <v>35.685005393743261</v>
      </c>
      <c r="K23" s="15">
        <f>(5*40)/Table1[[#This Row],[LastDNAConc]]</f>
        <v>4.3149946062567421</v>
      </c>
      <c r="L23" s="15" t="str">
        <f>IF(Table1[[#This Row],[DilutionDNA]]&gt;15,"Y","N")</f>
        <v>N</v>
      </c>
      <c r="M23">
        <v>1</v>
      </c>
      <c r="N23" t="s">
        <v>62</v>
      </c>
      <c r="O23">
        <v>1</v>
      </c>
      <c r="P23" t="s">
        <v>68</v>
      </c>
      <c r="Q23" t="s">
        <v>227</v>
      </c>
    </row>
    <row r="24" spans="1:17" x14ac:dyDescent="0.2">
      <c r="A24" t="s">
        <v>162</v>
      </c>
      <c r="B24" t="s">
        <v>135</v>
      </c>
      <c r="C24" t="s">
        <v>132</v>
      </c>
      <c r="D24" t="s">
        <v>133</v>
      </c>
      <c r="E24" t="s">
        <v>134</v>
      </c>
      <c r="F24">
        <v>13</v>
      </c>
      <c r="G24">
        <v>50</v>
      </c>
      <c r="H24" s="16">
        <v>45042</v>
      </c>
      <c r="I24" t="s">
        <v>28</v>
      </c>
      <c r="J24" s="15">
        <f>40-Table1[[#This Row],[DilutionDNA]]</f>
        <v>36</v>
      </c>
      <c r="K24" s="15">
        <f>(5*40)/Table1[[#This Row],[LastDNAConc]]</f>
        <v>4</v>
      </c>
      <c r="L24" s="15" t="str">
        <f>IF(Table1[[#This Row],[DilutionDNA]]&gt;15,"Y","N")</f>
        <v>N</v>
      </c>
      <c r="M24">
        <v>1</v>
      </c>
      <c r="N24" t="s">
        <v>63</v>
      </c>
      <c r="O24">
        <v>2</v>
      </c>
      <c r="P24" t="s">
        <v>51</v>
      </c>
      <c r="Q24" t="s">
        <v>227</v>
      </c>
    </row>
    <row r="25" spans="1:17" x14ac:dyDescent="0.2">
      <c r="A25" t="s">
        <v>163</v>
      </c>
      <c r="B25" t="s">
        <v>135</v>
      </c>
      <c r="C25" t="s">
        <v>132</v>
      </c>
      <c r="D25" t="s">
        <v>133</v>
      </c>
      <c r="E25" t="s">
        <v>140</v>
      </c>
      <c r="F25">
        <v>11</v>
      </c>
      <c r="G25">
        <v>24.4</v>
      </c>
      <c r="H25" s="16">
        <v>45042</v>
      </c>
      <c r="I25" t="s">
        <v>28</v>
      </c>
      <c r="J25" s="15">
        <f>40-Table1[[#This Row],[DilutionDNA]]</f>
        <v>31.803278688524589</v>
      </c>
      <c r="K25" s="15">
        <f>(5*40)/Table1[[#This Row],[LastDNAConc]]</f>
        <v>8.1967213114754109</v>
      </c>
      <c r="L25" s="15" t="str">
        <f>IF(Table1[[#This Row],[DilutionDNA]]&gt;15,"Y","N")</f>
        <v>N</v>
      </c>
      <c r="M25">
        <v>1</v>
      </c>
      <c r="N25" t="s">
        <v>64</v>
      </c>
      <c r="O25">
        <v>2</v>
      </c>
      <c r="P25" t="s">
        <v>52</v>
      </c>
      <c r="Q25" t="s">
        <v>227</v>
      </c>
    </row>
    <row r="26" spans="1:17" x14ac:dyDescent="0.2">
      <c r="A26" t="s">
        <v>164</v>
      </c>
      <c r="B26" t="s">
        <v>135</v>
      </c>
      <c r="C26" t="s">
        <v>132</v>
      </c>
      <c r="D26" t="s">
        <v>133</v>
      </c>
      <c r="E26" t="s">
        <v>140</v>
      </c>
      <c r="F26">
        <v>12</v>
      </c>
      <c r="G26">
        <f>AVERAGE(21.4,21.5)</f>
        <v>21.45</v>
      </c>
      <c r="H26" s="16">
        <v>45042</v>
      </c>
      <c r="I26" t="s">
        <v>28</v>
      </c>
      <c r="J26" s="15">
        <f>40-Table1[[#This Row],[DilutionDNA]]</f>
        <v>30.675990675990676</v>
      </c>
      <c r="K26" s="15">
        <f>(5*40)/Table1[[#This Row],[LastDNAConc]]</f>
        <v>9.3240093240093245</v>
      </c>
      <c r="L26" s="15" t="str">
        <f>IF(Table1[[#This Row],[DilutionDNA]]&gt;15,"Y","N")</f>
        <v>N</v>
      </c>
      <c r="M26">
        <v>1</v>
      </c>
      <c r="N26" t="s">
        <v>65</v>
      </c>
      <c r="O26">
        <v>2</v>
      </c>
      <c r="P26" t="s">
        <v>53</v>
      </c>
      <c r="Q26" t="s">
        <v>227</v>
      </c>
    </row>
    <row r="27" spans="1:17" x14ac:dyDescent="0.2">
      <c r="A27" t="s">
        <v>165</v>
      </c>
      <c r="B27" t="s">
        <v>135</v>
      </c>
      <c r="C27" t="s">
        <v>132</v>
      </c>
      <c r="D27" t="s">
        <v>133</v>
      </c>
      <c r="E27" t="s">
        <v>140</v>
      </c>
      <c r="F27">
        <v>13</v>
      </c>
      <c r="G27">
        <f>AVERAGE(28.5,28.2)</f>
        <v>28.35</v>
      </c>
      <c r="H27" s="16">
        <v>45042</v>
      </c>
      <c r="I27" t="s">
        <v>28</v>
      </c>
      <c r="J27" s="15">
        <f>40-Table1[[#This Row],[DilutionDNA]]</f>
        <v>32.945326278659614</v>
      </c>
      <c r="K27" s="15">
        <f>(5*40)/Table1[[#This Row],[LastDNAConc]]</f>
        <v>7.0546737213403876</v>
      </c>
      <c r="L27" s="15" t="str">
        <f>IF(Table1[[#This Row],[DilutionDNA]]&gt;15,"Y","N")</f>
        <v>N</v>
      </c>
      <c r="M27">
        <v>1</v>
      </c>
      <c r="N27" t="s">
        <v>66</v>
      </c>
      <c r="O27">
        <v>2</v>
      </c>
      <c r="P27" t="s">
        <v>54</v>
      </c>
      <c r="Q27" t="s">
        <v>227</v>
      </c>
    </row>
    <row r="28" spans="1:17" x14ac:dyDescent="0.2">
      <c r="A28" t="s">
        <v>166</v>
      </c>
      <c r="B28" t="s">
        <v>135</v>
      </c>
      <c r="C28" t="s">
        <v>132</v>
      </c>
      <c r="D28" t="s">
        <v>146</v>
      </c>
      <c r="E28" t="s">
        <v>134</v>
      </c>
      <c r="F28">
        <v>14</v>
      </c>
      <c r="G28">
        <f>AVERAGE(39.4,39.7)</f>
        <v>39.549999999999997</v>
      </c>
      <c r="H28" s="16">
        <v>45042</v>
      </c>
      <c r="I28" t="s">
        <v>28</v>
      </c>
      <c r="J28" s="15">
        <f>40-Table1[[#This Row],[DilutionDNA]]</f>
        <v>34.943109987357772</v>
      </c>
      <c r="K28" s="15">
        <f>(5*40)/Table1[[#This Row],[LastDNAConc]]</f>
        <v>5.0568900126422252</v>
      </c>
      <c r="L28" s="15" t="str">
        <f>IF(Table1[[#This Row],[DilutionDNA]]&gt;15,"Y","N")</f>
        <v>N</v>
      </c>
      <c r="M28">
        <v>1</v>
      </c>
      <c r="N28" t="s">
        <v>67</v>
      </c>
      <c r="O28">
        <v>2</v>
      </c>
      <c r="P28" t="s">
        <v>55</v>
      </c>
      <c r="Q28" t="s">
        <v>227</v>
      </c>
    </row>
    <row r="29" spans="1:17" x14ac:dyDescent="0.2">
      <c r="A29" t="s">
        <v>167</v>
      </c>
      <c r="B29" t="s">
        <v>135</v>
      </c>
      <c r="C29" t="s">
        <v>132</v>
      </c>
      <c r="D29" t="s">
        <v>146</v>
      </c>
      <c r="E29" t="s">
        <v>134</v>
      </c>
      <c r="F29">
        <v>15</v>
      </c>
      <c r="G29">
        <f>AVERAGE(41.9,42.1)</f>
        <v>42</v>
      </c>
      <c r="H29" s="16">
        <v>45042</v>
      </c>
      <c r="I29" t="s">
        <v>28</v>
      </c>
      <c r="J29" s="15">
        <f>40-Table1[[#This Row],[DilutionDNA]]</f>
        <v>35.238095238095241</v>
      </c>
      <c r="K29" s="15">
        <f>(5*40)/Table1[[#This Row],[LastDNAConc]]</f>
        <v>4.7619047619047619</v>
      </c>
      <c r="L29" s="15" t="str">
        <f>IF(Table1[[#This Row],[DilutionDNA]]&gt;15,"Y","N")</f>
        <v>N</v>
      </c>
      <c r="M29">
        <v>1</v>
      </c>
      <c r="N29" t="s">
        <v>68</v>
      </c>
      <c r="O29">
        <v>2</v>
      </c>
      <c r="P29" t="s">
        <v>56</v>
      </c>
      <c r="Q29" t="s">
        <v>227</v>
      </c>
    </row>
    <row r="30" spans="1:17" x14ac:dyDescent="0.2">
      <c r="A30" t="s">
        <v>168</v>
      </c>
      <c r="B30" t="s">
        <v>135</v>
      </c>
      <c r="C30" t="s">
        <v>132</v>
      </c>
      <c r="D30" t="s">
        <v>146</v>
      </c>
      <c r="E30" t="s">
        <v>140</v>
      </c>
      <c r="F30">
        <v>14</v>
      </c>
      <c r="G30">
        <v>17.7</v>
      </c>
      <c r="H30" s="16">
        <v>45042</v>
      </c>
      <c r="I30" t="s">
        <v>28</v>
      </c>
      <c r="J30" s="15">
        <f>40-Table1[[#This Row],[DilutionDNA]]</f>
        <v>28.700564971751412</v>
      </c>
      <c r="K30" s="15">
        <f>(5*40)/Table1[[#This Row],[LastDNAConc]]</f>
        <v>11.299435028248588</v>
      </c>
      <c r="L30" s="15" t="str">
        <f>IF(Table1[[#This Row],[DilutionDNA]]&gt;15,"Y","N")</f>
        <v>N</v>
      </c>
      <c r="M30">
        <v>1</v>
      </c>
      <c r="N30" t="s">
        <v>34</v>
      </c>
      <c r="O30">
        <v>2</v>
      </c>
      <c r="P30" t="s">
        <v>47</v>
      </c>
      <c r="Q30" t="s">
        <v>227</v>
      </c>
    </row>
    <row r="31" spans="1:17" x14ac:dyDescent="0.2">
      <c r="A31" t="s">
        <v>169</v>
      </c>
      <c r="B31" t="s">
        <v>135</v>
      </c>
      <c r="C31" t="s">
        <v>132</v>
      </c>
      <c r="D31" t="s">
        <v>146</v>
      </c>
      <c r="E31" t="s">
        <v>140</v>
      </c>
      <c r="F31">
        <v>15</v>
      </c>
      <c r="G31">
        <v>22.7</v>
      </c>
      <c r="H31" s="16">
        <v>45042</v>
      </c>
      <c r="I31" t="s">
        <v>28</v>
      </c>
      <c r="J31" s="15">
        <f>40-Table1[[#This Row],[DilutionDNA]]</f>
        <v>31.189427312775329</v>
      </c>
      <c r="K31" s="15">
        <f>(5*40)/Table1[[#This Row],[LastDNAConc]]</f>
        <v>8.8105726872246706</v>
      </c>
      <c r="L31" s="15" t="str">
        <f>IF(Table1[[#This Row],[DilutionDNA]]&gt;15,"Y","N")</f>
        <v>N</v>
      </c>
      <c r="M31">
        <v>1</v>
      </c>
      <c r="N31" t="s">
        <v>50</v>
      </c>
      <c r="O31">
        <v>2</v>
      </c>
      <c r="P31" t="s">
        <v>48</v>
      </c>
      <c r="Q31" t="s">
        <v>227</v>
      </c>
    </row>
    <row r="32" spans="1:17" x14ac:dyDescent="0.2">
      <c r="A32" t="s">
        <v>170</v>
      </c>
      <c r="B32" t="s">
        <v>135</v>
      </c>
      <c r="C32" t="s">
        <v>152</v>
      </c>
      <c r="D32" t="s">
        <v>133</v>
      </c>
      <c r="E32" t="s">
        <v>134</v>
      </c>
      <c r="F32">
        <v>16</v>
      </c>
      <c r="G32">
        <v>44.2</v>
      </c>
      <c r="H32" s="16">
        <v>45042</v>
      </c>
      <c r="I32" t="s">
        <v>28</v>
      </c>
      <c r="J32" s="15">
        <f>40-Table1[[#This Row],[DilutionDNA]]</f>
        <v>35.475113122171948</v>
      </c>
      <c r="K32" s="15">
        <f>(5*40)/Table1[[#This Row],[LastDNAConc]]</f>
        <v>4.5248868778280542</v>
      </c>
      <c r="L32" s="15" t="str">
        <f>IF(Table1[[#This Row],[DilutionDNA]]&gt;15,"Y","N")</f>
        <v>N</v>
      </c>
      <c r="M32">
        <v>1</v>
      </c>
      <c r="N32" t="s">
        <v>69</v>
      </c>
      <c r="O32">
        <v>2</v>
      </c>
      <c r="P32" t="s">
        <v>57</v>
      </c>
      <c r="Q32" t="s">
        <v>227</v>
      </c>
    </row>
    <row r="33" spans="1:17" x14ac:dyDescent="0.2">
      <c r="A33" t="s">
        <v>171</v>
      </c>
      <c r="B33" t="s">
        <v>135</v>
      </c>
      <c r="C33" t="s">
        <v>152</v>
      </c>
      <c r="D33" t="s">
        <v>133</v>
      </c>
      <c r="E33" t="s">
        <v>134</v>
      </c>
      <c r="F33">
        <v>17</v>
      </c>
      <c r="G33">
        <f>AVERAGE(43.4,42.8)</f>
        <v>43.099999999999994</v>
      </c>
      <c r="H33" s="16">
        <v>45042</v>
      </c>
      <c r="I33" t="s">
        <v>28</v>
      </c>
      <c r="J33" s="15">
        <f>40-Table1[[#This Row],[DilutionDNA]]</f>
        <v>35.359628770301626</v>
      </c>
      <c r="K33" s="15">
        <f>(5*40)/Table1[[#This Row],[LastDNAConc]]</f>
        <v>4.6403712296983768</v>
      </c>
      <c r="L33" s="15" t="str">
        <f>IF(Table1[[#This Row],[DilutionDNA]]&gt;15,"Y","N")</f>
        <v>N</v>
      </c>
      <c r="M33">
        <v>1</v>
      </c>
      <c r="N33" t="s">
        <v>70</v>
      </c>
      <c r="O33">
        <v>2</v>
      </c>
      <c r="P33" t="s">
        <v>58</v>
      </c>
      <c r="Q33" t="s">
        <v>227</v>
      </c>
    </row>
    <row r="34" spans="1:17" x14ac:dyDescent="0.2">
      <c r="A34" t="s">
        <v>172</v>
      </c>
      <c r="B34" t="s">
        <v>135</v>
      </c>
      <c r="C34" t="s">
        <v>152</v>
      </c>
      <c r="D34" t="s">
        <v>133</v>
      </c>
      <c r="E34" t="s">
        <v>134</v>
      </c>
      <c r="F34">
        <v>18</v>
      </c>
      <c r="G34">
        <f>AVERAGE(36.6,36.7)</f>
        <v>36.650000000000006</v>
      </c>
      <c r="H34" s="16">
        <v>45042</v>
      </c>
      <c r="I34" t="s">
        <v>28</v>
      </c>
      <c r="J34" s="15">
        <f>40-Table1[[#This Row],[DilutionDNA]]</f>
        <v>34.542974079126878</v>
      </c>
      <c r="K34" s="15">
        <f>(5*40)/Table1[[#This Row],[LastDNAConc]]</f>
        <v>5.4570259208731233</v>
      </c>
      <c r="L34" s="15" t="str">
        <f>IF(Table1[[#This Row],[DilutionDNA]]&gt;15,"Y","N")</f>
        <v>N</v>
      </c>
      <c r="M34">
        <v>1</v>
      </c>
      <c r="N34" t="s">
        <v>71</v>
      </c>
      <c r="O34">
        <v>2</v>
      </c>
      <c r="P34" t="s">
        <v>59</v>
      </c>
      <c r="Q34" t="s">
        <v>227</v>
      </c>
    </row>
    <row r="35" spans="1:17" x14ac:dyDescent="0.2">
      <c r="A35" t="s">
        <v>173</v>
      </c>
      <c r="B35" t="s">
        <v>135</v>
      </c>
      <c r="C35" t="s">
        <v>152</v>
      </c>
      <c r="D35" t="s">
        <v>133</v>
      </c>
      <c r="E35" t="s">
        <v>140</v>
      </c>
      <c r="F35">
        <v>16</v>
      </c>
      <c r="G35">
        <v>24.3</v>
      </c>
      <c r="H35" s="16">
        <v>45042</v>
      </c>
      <c r="I35" t="s">
        <v>28</v>
      </c>
      <c r="J35" s="15">
        <f>40-Table1[[#This Row],[DilutionDNA]]</f>
        <v>31.769547325102881</v>
      </c>
      <c r="K35" s="15">
        <f>(5*40)/Table1[[#This Row],[LastDNAConc]]</f>
        <v>8.2304526748971192</v>
      </c>
      <c r="L35" s="15" t="str">
        <f>IF(Table1[[#This Row],[DilutionDNA]]&gt;15,"Y","N")</f>
        <v>N</v>
      </c>
      <c r="M35">
        <v>1</v>
      </c>
      <c r="N35" t="s">
        <v>72</v>
      </c>
      <c r="O35">
        <v>2</v>
      </c>
      <c r="P35" t="s">
        <v>60</v>
      </c>
      <c r="Q35" t="s">
        <v>227</v>
      </c>
    </row>
    <row r="36" spans="1:17" x14ac:dyDescent="0.2">
      <c r="A36" t="s">
        <v>174</v>
      </c>
      <c r="B36" t="s">
        <v>135</v>
      </c>
      <c r="C36" t="s">
        <v>152</v>
      </c>
      <c r="D36" t="s">
        <v>133</v>
      </c>
      <c r="E36" t="s">
        <v>140</v>
      </c>
      <c r="F36">
        <v>17</v>
      </c>
      <c r="G36">
        <v>20.8</v>
      </c>
      <c r="H36" s="16">
        <v>45042</v>
      </c>
      <c r="I36" t="s">
        <v>28</v>
      </c>
      <c r="J36" s="15">
        <f>40-Table1[[#This Row],[DilutionDNA]]</f>
        <v>30.384615384615387</v>
      </c>
      <c r="K36" s="15">
        <f>(5*40)/Table1[[#This Row],[LastDNAConc]]</f>
        <v>9.615384615384615</v>
      </c>
      <c r="L36" s="15" t="str">
        <f>IF(Table1[[#This Row],[DilutionDNA]]&gt;15,"Y","N")</f>
        <v>N</v>
      </c>
      <c r="M36">
        <v>1</v>
      </c>
      <c r="N36" t="s">
        <v>73</v>
      </c>
      <c r="O36">
        <v>2</v>
      </c>
      <c r="P36" t="s">
        <v>61</v>
      </c>
      <c r="Q36" t="s">
        <v>227</v>
      </c>
    </row>
    <row r="37" spans="1:17" x14ac:dyDescent="0.2">
      <c r="A37" t="s">
        <v>175</v>
      </c>
      <c r="B37" t="s">
        <v>135</v>
      </c>
      <c r="C37" t="s">
        <v>152</v>
      </c>
      <c r="D37" t="s">
        <v>133</v>
      </c>
      <c r="E37" t="s">
        <v>140</v>
      </c>
      <c r="F37">
        <v>18</v>
      </c>
      <c r="G37">
        <v>20.5</v>
      </c>
      <c r="H37" s="16">
        <v>45042</v>
      </c>
      <c r="I37" t="s">
        <v>28</v>
      </c>
      <c r="J37" s="15">
        <f>40-Table1[[#This Row],[DilutionDNA]]</f>
        <v>30.243902439024389</v>
      </c>
      <c r="K37" s="15">
        <f>(5*40)/Table1[[#This Row],[LastDNAConc]]</f>
        <v>9.7560975609756095</v>
      </c>
      <c r="L37" s="15" t="str">
        <f>IF(Table1[[#This Row],[DilutionDNA]]&gt;15,"Y","N")</f>
        <v>N</v>
      </c>
      <c r="M37">
        <v>1</v>
      </c>
      <c r="N37" t="s">
        <v>74</v>
      </c>
      <c r="O37">
        <v>2</v>
      </c>
      <c r="P37" t="s">
        <v>62</v>
      </c>
      <c r="Q37" t="s">
        <v>227</v>
      </c>
    </row>
    <row r="38" spans="1:17" x14ac:dyDescent="0.2">
      <c r="A38" t="s">
        <v>176</v>
      </c>
      <c r="B38" t="s">
        <v>135</v>
      </c>
      <c r="C38" t="s">
        <v>152</v>
      </c>
      <c r="D38" t="s">
        <v>146</v>
      </c>
      <c r="E38" t="s">
        <v>134</v>
      </c>
      <c r="F38">
        <v>19</v>
      </c>
      <c r="G38">
        <v>44.4</v>
      </c>
      <c r="H38" s="16">
        <v>45042</v>
      </c>
      <c r="I38" t="s">
        <v>28</v>
      </c>
      <c r="J38" s="15">
        <f>40-Table1[[#This Row],[DilutionDNA]]</f>
        <v>35.495495495495497</v>
      </c>
      <c r="K38" s="15">
        <f>(5*40)/Table1[[#This Row],[LastDNAConc]]</f>
        <v>4.5045045045045047</v>
      </c>
      <c r="L38" s="15" t="str">
        <f>IF(Table1[[#This Row],[DilutionDNA]]&gt;15,"Y","N")</f>
        <v>N</v>
      </c>
      <c r="M38">
        <v>1</v>
      </c>
      <c r="N38" t="s">
        <v>35</v>
      </c>
      <c r="O38">
        <v>2</v>
      </c>
      <c r="P38" t="s">
        <v>33</v>
      </c>
      <c r="Q38" t="s">
        <v>227</v>
      </c>
    </row>
    <row r="39" spans="1:17" x14ac:dyDescent="0.2">
      <c r="A39" t="s">
        <v>177</v>
      </c>
      <c r="B39" t="s">
        <v>135</v>
      </c>
      <c r="C39" t="s">
        <v>152</v>
      </c>
      <c r="D39" t="s">
        <v>146</v>
      </c>
      <c r="E39" t="s">
        <v>134</v>
      </c>
      <c r="F39">
        <v>20</v>
      </c>
      <c r="G39">
        <v>49.2</v>
      </c>
      <c r="H39" s="16">
        <v>45042</v>
      </c>
      <c r="I39" t="s">
        <v>28</v>
      </c>
      <c r="J39" s="15">
        <f>40-Table1[[#This Row],[DilutionDNA]]</f>
        <v>35.934959349593498</v>
      </c>
      <c r="K39" s="15">
        <f>(5*40)/Table1[[#This Row],[LastDNAConc]]</f>
        <v>4.0650406504065035</v>
      </c>
      <c r="L39" s="15" t="str">
        <f>IF(Table1[[#This Row],[DilutionDNA]]&gt;15,"Y","N")</f>
        <v>N</v>
      </c>
      <c r="M39">
        <v>1</v>
      </c>
      <c r="N39" t="s">
        <v>75</v>
      </c>
      <c r="O39">
        <v>2</v>
      </c>
      <c r="P39" t="s">
        <v>49</v>
      </c>
      <c r="Q39" t="s">
        <v>227</v>
      </c>
    </row>
    <row r="40" spans="1:17" x14ac:dyDescent="0.2">
      <c r="A40" t="s">
        <v>178</v>
      </c>
      <c r="B40" t="s">
        <v>135</v>
      </c>
      <c r="C40" t="s">
        <v>152</v>
      </c>
      <c r="D40" t="s">
        <v>146</v>
      </c>
      <c r="E40" t="s">
        <v>140</v>
      </c>
      <c r="F40">
        <v>19</v>
      </c>
      <c r="G40">
        <f>AVERAGE(20.1,20)</f>
        <v>20.05</v>
      </c>
      <c r="H40" s="16">
        <v>45042</v>
      </c>
      <c r="I40" t="s">
        <v>28</v>
      </c>
      <c r="J40" s="15">
        <f>40-Table1[[#This Row],[DilutionDNA]]</f>
        <v>30.024937655860349</v>
      </c>
      <c r="K40" s="15">
        <f>(5*40)/Table1[[#This Row],[LastDNAConc]]</f>
        <v>9.9750623441396513</v>
      </c>
      <c r="L40" s="15" t="str">
        <f>IF(Table1[[#This Row],[DilutionDNA]]&gt;15,"Y","N")</f>
        <v>N</v>
      </c>
      <c r="M40">
        <v>1</v>
      </c>
      <c r="N40" t="s">
        <v>76</v>
      </c>
      <c r="O40">
        <v>2</v>
      </c>
      <c r="P40" t="s">
        <v>63</v>
      </c>
      <c r="Q40" t="s">
        <v>227</v>
      </c>
    </row>
    <row r="41" spans="1:17" x14ac:dyDescent="0.2">
      <c r="A41" t="s">
        <v>179</v>
      </c>
      <c r="B41" t="s">
        <v>135</v>
      </c>
      <c r="C41" t="s">
        <v>152</v>
      </c>
      <c r="D41" t="s">
        <v>146</v>
      </c>
      <c r="E41" t="s">
        <v>140</v>
      </c>
      <c r="F41">
        <v>20</v>
      </c>
      <c r="G41">
        <f>AVERAGE(17.1,17.2)</f>
        <v>17.149999999999999</v>
      </c>
      <c r="H41" s="16">
        <v>45042</v>
      </c>
      <c r="I41" t="s">
        <v>28</v>
      </c>
      <c r="J41" s="15">
        <f>40-Table1[[#This Row],[DilutionDNA]]</f>
        <v>28.33819241982507</v>
      </c>
      <c r="K41" s="15">
        <f>(5*40)/Table1[[#This Row],[LastDNAConc]]</f>
        <v>11.661807580174928</v>
      </c>
      <c r="L41" s="15" t="str">
        <f>IF(Table1[[#This Row],[DilutionDNA]]&gt;15,"Y","N")</f>
        <v>N</v>
      </c>
      <c r="M41">
        <v>1</v>
      </c>
      <c r="N41" t="s">
        <v>77</v>
      </c>
      <c r="O41">
        <v>2</v>
      </c>
      <c r="P41" t="s">
        <v>64</v>
      </c>
      <c r="Q41" t="s">
        <v>227</v>
      </c>
    </row>
    <row r="42" spans="1:17" x14ac:dyDescent="0.2">
      <c r="A42" t="s">
        <v>180</v>
      </c>
      <c r="B42" t="s">
        <v>183</v>
      </c>
      <c r="C42" t="s">
        <v>132</v>
      </c>
      <c r="D42" t="s">
        <v>133</v>
      </c>
      <c r="E42" t="s">
        <v>134</v>
      </c>
      <c r="F42">
        <v>21</v>
      </c>
      <c r="G42">
        <f>AVERAGE(33.7,33.2)</f>
        <v>33.450000000000003</v>
      </c>
      <c r="H42" s="16">
        <v>45043</v>
      </c>
      <c r="I42" t="s">
        <v>28</v>
      </c>
      <c r="J42" s="15">
        <f>40-Table1[[#This Row],[DilutionDNA]]</f>
        <v>34.020926756352765</v>
      </c>
      <c r="K42" s="15">
        <f>(5*40)/Table1[[#This Row],[LastDNAConc]]</f>
        <v>5.9790732436472345</v>
      </c>
      <c r="L42" s="15" t="str">
        <f>IF(Table1[[#This Row],[DilutionDNA]]&gt;15,"Y","N")</f>
        <v>N</v>
      </c>
      <c r="M42">
        <v>1</v>
      </c>
      <c r="N42" t="s">
        <v>78</v>
      </c>
      <c r="O42">
        <v>2</v>
      </c>
      <c r="P42" t="s">
        <v>65</v>
      </c>
      <c r="Q42" t="s">
        <v>227</v>
      </c>
    </row>
    <row r="43" spans="1:17" x14ac:dyDescent="0.2">
      <c r="A43" t="s">
        <v>181</v>
      </c>
      <c r="B43" t="s">
        <v>183</v>
      </c>
      <c r="C43" t="s">
        <v>132</v>
      </c>
      <c r="D43" t="s">
        <v>133</v>
      </c>
      <c r="E43" t="s">
        <v>134</v>
      </c>
      <c r="F43">
        <v>22</v>
      </c>
      <c r="G43">
        <v>37.700000000000003</v>
      </c>
      <c r="H43" s="16">
        <v>45043</v>
      </c>
      <c r="I43" t="s">
        <v>28</v>
      </c>
      <c r="J43" s="15">
        <f>40-Table1[[#This Row],[DilutionDNA]]</f>
        <v>34.694960212201593</v>
      </c>
      <c r="K43" s="15">
        <f>(5*40)/Table1[[#This Row],[LastDNAConc]]</f>
        <v>5.3050397877984077</v>
      </c>
      <c r="L43" s="15" t="str">
        <f>IF(Table1[[#This Row],[DilutionDNA]]&gt;15,"Y","N")</f>
        <v>N</v>
      </c>
      <c r="M43">
        <v>1</v>
      </c>
      <c r="N43" t="s">
        <v>79</v>
      </c>
      <c r="O43">
        <v>2</v>
      </c>
      <c r="P43" t="s">
        <v>66</v>
      </c>
      <c r="Q43" t="s">
        <v>227</v>
      </c>
    </row>
    <row r="44" spans="1:17" x14ac:dyDescent="0.2">
      <c r="A44" t="s">
        <v>182</v>
      </c>
      <c r="B44" t="s">
        <v>183</v>
      </c>
      <c r="C44" t="s">
        <v>132</v>
      </c>
      <c r="D44" t="s">
        <v>133</v>
      </c>
      <c r="E44" t="s">
        <v>134</v>
      </c>
      <c r="F44">
        <v>23</v>
      </c>
      <c r="G44">
        <v>41.4</v>
      </c>
      <c r="H44" s="16">
        <v>45043</v>
      </c>
      <c r="I44" t="s">
        <v>28</v>
      </c>
      <c r="J44" s="15">
        <f>40-Table1[[#This Row],[DilutionDNA]]</f>
        <v>35.169082125603865</v>
      </c>
      <c r="K44" s="15">
        <f>(5*40)/Table1[[#This Row],[LastDNAConc]]</f>
        <v>4.8309178743961354</v>
      </c>
      <c r="L44" s="15" t="str">
        <f>IF(Table1[[#This Row],[DilutionDNA]]&gt;15,"Y","N")</f>
        <v>N</v>
      </c>
      <c r="M44">
        <v>1</v>
      </c>
      <c r="N44" t="s">
        <v>80</v>
      </c>
      <c r="O44">
        <v>2</v>
      </c>
      <c r="P44" t="s">
        <v>67</v>
      </c>
      <c r="Q44" t="s">
        <v>227</v>
      </c>
    </row>
    <row r="45" spans="1:17" x14ac:dyDescent="0.2">
      <c r="A45" t="s">
        <v>184</v>
      </c>
      <c r="B45" t="s">
        <v>183</v>
      </c>
      <c r="C45" t="s">
        <v>132</v>
      </c>
      <c r="D45" t="s">
        <v>133</v>
      </c>
      <c r="E45" t="s">
        <v>140</v>
      </c>
      <c r="F45">
        <v>21</v>
      </c>
      <c r="G45">
        <f>AVERAGE(35.6,35.7)</f>
        <v>35.650000000000006</v>
      </c>
      <c r="H45" s="16">
        <v>45043</v>
      </c>
      <c r="I45" t="s">
        <v>28</v>
      </c>
      <c r="J45" s="15">
        <f>40-Table1[[#This Row],[DilutionDNA]]</f>
        <v>34.38990182328191</v>
      </c>
      <c r="K45" s="15">
        <f>(5*40)/Table1[[#This Row],[LastDNAConc]]</f>
        <v>5.6100981767180915</v>
      </c>
      <c r="L45" s="15" t="str">
        <f>IF(Table1[[#This Row],[DilutionDNA]]&gt;15,"Y","N")</f>
        <v>N</v>
      </c>
      <c r="M45">
        <v>1</v>
      </c>
      <c r="N45" t="s">
        <v>81</v>
      </c>
      <c r="O45">
        <v>2</v>
      </c>
      <c r="P45" t="s">
        <v>68</v>
      </c>
      <c r="Q45" t="s">
        <v>227</v>
      </c>
    </row>
    <row r="46" spans="1:17" x14ac:dyDescent="0.2">
      <c r="A46" t="s">
        <v>185</v>
      </c>
      <c r="B46" t="s">
        <v>183</v>
      </c>
      <c r="C46" t="s">
        <v>132</v>
      </c>
      <c r="D46" t="s">
        <v>133</v>
      </c>
      <c r="E46" t="s">
        <v>140</v>
      </c>
      <c r="F46">
        <v>22</v>
      </c>
      <c r="G46">
        <v>35.799999999999997</v>
      </c>
      <c r="H46" s="16">
        <v>45043</v>
      </c>
      <c r="I46" t="s">
        <v>28</v>
      </c>
      <c r="J46" s="15">
        <f>40-Table1[[#This Row],[DilutionDNA]]</f>
        <v>34.41340782122905</v>
      </c>
      <c r="K46" s="15">
        <f>(5*40)/Table1[[#This Row],[LastDNAConc]]</f>
        <v>5.5865921787709505</v>
      </c>
      <c r="L46" s="15" t="str">
        <f>IF(Table1[[#This Row],[DilutionDNA]]&gt;15,"Y","N")</f>
        <v>N</v>
      </c>
      <c r="M46">
        <v>1</v>
      </c>
      <c r="N46" t="s">
        <v>82</v>
      </c>
      <c r="O46">
        <v>3</v>
      </c>
      <c r="P46" t="s">
        <v>51</v>
      </c>
      <c r="Q46" t="s">
        <v>227</v>
      </c>
    </row>
    <row r="47" spans="1:17" x14ac:dyDescent="0.2">
      <c r="A47" t="s">
        <v>186</v>
      </c>
      <c r="B47" t="s">
        <v>183</v>
      </c>
      <c r="C47" t="s">
        <v>132</v>
      </c>
      <c r="D47" t="s">
        <v>133</v>
      </c>
      <c r="E47" t="s">
        <v>140</v>
      </c>
      <c r="F47">
        <v>23</v>
      </c>
      <c r="G47">
        <v>25</v>
      </c>
      <c r="H47" s="16">
        <v>45043</v>
      </c>
      <c r="I47" t="s">
        <v>28</v>
      </c>
      <c r="J47" s="15">
        <f>40-Table1[[#This Row],[DilutionDNA]]</f>
        <v>32</v>
      </c>
      <c r="K47" s="15">
        <f>(5*40)/Table1[[#This Row],[LastDNAConc]]</f>
        <v>8</v>
      </c>
      <c r="L47" s="15" t="str">
        <f>IF(Table1[[#This Row],[DilutionDNA]]&gt;15,"Y","N")</f>
        <v>N</v>
      </c>
      <c r="M47">
        <v>1</v>
      </c>
      <c r="N47" t="s">
        <v>83</v>
      </c>
      <c r="O47">
        <v>3</v>
      </c>
      <c r="P47" t="s">
        <v>52</v>
      </c>
      <c r="Q47" t="s">
        <v>227</v>
      </c>
    </row>
    <row r="48" spans="1:17" x14ac:dyDescent="0.2">
      <c r="A48" t="s">
        <v>187</v>
      </c>
      <c r="B48" t="s">
        <v>183</v>
      </c>
      <c r="C48" t="s">
        <v>132</v>
      </c>
      <c r="D48" t="s">
        <v>146</v>
      </c>
      <c r="E48" t="s">
        <v>134</v>
      </c>
      <c r="F48">
        <v>24</v>
      </c>
      <c r="G48">
        <v>17.5</v>
      </c>
      <c r="H48" s="16">
        <v>45043</v>
      </c>
      <c r="I48" t="s">
        <v>28</v>
      </c>
      <c r="J48" s="15">
        <f>40-Table1[[#This Row],[DilutionDNA]]</f>
        <v>28.571428571428569</v>
      </c>
      <c r="K48" s="15">
        <f>(5*40)/Table1[[#This Row],[LastDNAConc]]</f>
        <v>11.428571428571429</v>
      </c>
      <c r="L48" s="15" t="str">
        <f>IF(Table1[[#This Row],[DilutionDNA]]&gt;15,"Y","N")</f>
        <v>N</v>
      </c>
      <c r="M48">
        <v>1</v>
      </c>
      <c r="N48" t="s">
        <v>84</v>
      </c>
      <c r="O48">
        <v>3</v>
      </c>
      <c r="P48" t="s">
        <v>53</v>
      </c>
      <c r="Q48" t="s">
        <v>227</v>
      </c>
    </row>
    <row r="49" spans="1:19" x14ac:dyDescent="0.2">
      <c r="A49" t="s">
        <v>188</v>
      </c>
      <c r="B49" t="s">
        <v>183</v>
      </c>
      <c r="C49" t="s">
        <v>132</v>
      </c>
      <c r="D49" t="s">
        <v>146</v>
      </c>
      <c r="E49" t="s">
        <v>134</v>
      </c>
      <c r="F49">
        <v>25</v>
      </c>
      <c r="G49">
        <f>AVERAGE(26.1,26.2)</f>
        <v>26.15</v>
      </c>
      <c r="H49" s="16">
        <v>45043</v>
      </c>
      <c r="I49" t="s">
        <v>28</v>
      </c>
      <c r="J49" s="15">
        <f>40-Table1[[#This Row],[DilutionDNA]]</f>
        <v>32.351816443594643</v>
      </c>
      <c r="K49" s="15">
        <f>(5*40)/Table1[[#This Row],[LastDNAConc]]</f>
        <v>7.6481835564053542</v>
      </c>
      <c r="L49" s="15" t="str">
        <f>IF(Table1[[#This Row],[DilutionDNA]]&gt;15,"Y","N")</f>
        <v>N</v>
      </c>
      <c r="M49">
        <v>1</v>
      </c>
      <c r="N49" t="s">
        <v>85</v>
      </c>
      <c r="O49">
        <v>3</v>
      </c>
      <c r="P49" t="s">
        <v>54</v>
      </c>
      <c r="Q49" t="s">
        <v>227</v>
      </c>
    </row>
    <row r="50" spans="1:19" x14ac:dyDescent="0.2">
      <c r="A50" t="s">
        <v>189</v>
      </c>
      <c r="B50" t="s">
        <v>183</v>
      </c>
      <c r="C50" t="s">
        <v>132</v>
      </c>
      <c r="D50" t="s">
        <v>146</v>
      </c>
      <c r="E50" t="s">
        <v>134</v>
      </c>
      <c r="F50">
        <v>26</v>
      </c>
      <c r="G50">
        <f>AVERAGE(28.3,28)</f>
        <v>28.15</v>
      </c>
      <c r="H50" s="16">
        <v>45043</v>
      </c>
      <c r="I50" t="s">
        <v>28</v>
      </c>
      <c r="J50" s="15">
        <f>40-Table1[[#This Row],[DilutionDNA]]</f>
        <v>32.895204262877442</v>
      </c>
      <c r="K50" s="15">
        <f>(5*40)/Table1[[#This Row],[LastDNAConc]]</f>
        <v>7.1047957371225579</v>
      </c>
      <c r="L50" s="15" t="str">
        <f>IF(Table1[[#This Row],[DilutionDNA]]&gt;15,"Y","N")</f>
        <v>N</v>
      </c>
      <c r="M50">
        <v>1</v>
      </c>
      <c r="N50" t="s">
        <v>86</v>
      </c>
      <c r="O50">
        <v>3</v>
      </c>
      <c r="P50" t="s">
        <v>55</v>
      </c>
      <c r="Q50" t="s">
        <v>227</v>
      </c>
    </row>
    <row r="51" spans="1:19" x14ac:dyDescent="0.2">
      <c r="A51" t="s">
        <v>190</v>
      </c>
      <c r="B51" t="s">
        <v>183</v>
      </c>
      <c r="C51" t="s">
        <v>132</v>
      </c>
      <c r="D51" t="s">
        <v>146</v>
      </c>
      <c r="E51" t="s">
        <v>140</v>
      </c>
      <c r="F51">
        <v>24</v>
      </c>
      <c r="G51">
        <v>38.4</v>
      </c>
      <c r="H51" s="16">
        <v>45043</v>
      </c>
      <c r="I51" t="s">
        <v>28</v>
      </c>
      <c r="J51" s="15">
        <f>40-Table1[[#This Row],[DilutionDNA]]</f>
        <v>34.791666666666664</v>
      </c>
      <c r="K51" s="15">
        <f>(5*40)/Table1[[#This Row],[LastDNAConc]]</f>
        <v>5.2083333333333339</v>
      </c>
      <c r="L51" s="15" t="str">
        <f>IF(Table1[[#This Row],[DilutionDNA]]&gt;15,"Y","N")</f>
        <v>N</v>
      </c>
      <c r="M51">
        <v>1</v>
      </c>
      <c r="N51" t="s">
        <v>87</v>
      </c>
      <c r="O51">
        <v>3</v>
      </c>
      <c r="P51" t="s">
        <v>56</v>
      </c>
      <c r="Q51" t="s">
        <v>227</v>
      </c>
    </row>
    <row r="52" spans="1:19" x14ac:dyDescent="0.2">
      <c r="A52" t="s">
        <v>191</v>
      </c>
      <c r="B52" t="s">
        <v>183</v>
      </c>
      <c r="C52" t="s">
        <v>132</v>
      </c>
      <c r="D52" t="s">
        <v>146</v>
      </c>
      <c r="E52" t="s">
        <v>140</v>
      </c>
      <c r="F52">
        <v>25</v>
      </c>
      <c r="G52">
        <f>AVERAGE(23.9,23.6)</f>
        <v>23.75</v>
      </c>
      <c r="H52" s="16">
        <v>45043</v>
      </c>
      <c r="I52" t="s">
        <v>28</v>
      </c>
      <c r="J52" s="15">
        <f>40-Table1[[#This Row],[DilutionDNA]]</f>
        <v>31.578947368421055</v>
      </c>
      <c r="K52" s="15">
        <f>(5*40)/Table1[[#This Row],[LastDNAConc]]</f>
        <v>8.4210526315789469</v>
      </c>
      <c r="L52" s="15" t="str">
        <f>IF(Table1[[#This Row],[DilutionDNA]]&gt;15,"Y","N")</f>
        <v>N</v>
      </c>
      <c r="M52">
        <v>1</v>
      </c>
      <c r="N52" t="s">
        <v>36</v>
      </c>
      <c r="O52">
        <v>3</v>
      </c>
      <c r="P52" t="s">
        <v>47</v>
      </c>
      <c r="Q52" t="s">
        <v>227</v>
      </c>
    </row>
    <row r="53" spans="1:19" x14ac:dyDescent="0.2">
      <c r="A53" t="s">
        <v>192</v>
      </c>
      <c r="B53" t="s">
        <v>183</v>
      </c>
      <c r="C53" t="s">
        <v>132</v>
      </c>
      <c r="D53" t="s">
        <v>146</v>
      </c>
      <c r="E53" t="s">
        <v>140</v>
      </c>
      <c r="F53">
        <v>26</v>
      </c>
      <c r="G53">
        <f>AVERAGE(35.9,36)</f>
        <v>35.950000000000003</v>
      </c>
      <c r="H53" s="16">
        <v>45043</v>
      </c>
      <c r="I53" t="s">
        <v>28</v>
      </c>
      <c r="J53" s="15">
        <f>40-Table1[[#This Row],[DilutionDNA]]</f>
        <v>34.436717663421419</v>
      </c>
      <c r="K53" s="15">
        <f>(5*40)/Table1[[#This Row],[LastDNAConc]]</f>
        <v>5.5632823365785811</v>
      </c>
      <c r="L53" s="15" t="str">
        <f>IF(Table1[[#This Row],[DilutionDNA]]&gt;15,"Y","N")</f>
        <v>N</v>
      </c>
      <c r="M53">
        <v>1</v>
      </c>
      <c r="N53" t="s">
        <v>88</v>
      </c>
      <c r="O53">
        <v>3</v>
      </c>
      <c r="P53" t="s">
        <v>48</v>
      </c>
      <c r="Q53" t="s">
        <v>227</v>
      </c>
    </row>
    <row r="54" spans="1:19" x14ac:dyDescent="0.2">
      <c r="A54" t="s">
        <v>193</v>
      </c>
      <c r="B54" t="s">
        <v>183</v>
      </c>
      <c r="C54" t="s">
        <v>152</v>
      </c>
      <c r="D54" t="s">
        <v>133</v>
      </c>
      <c r="E54" t="s">
        <v>134</v>
      </c>
      <c r="F54">
        <v>27</v>
      </c>
      <c r="G54">
        <f>AVERAGE(31.6,31.7)</f>
        <v>31.65</v>
      </c>
      <c r="H54" s="16">
        <v>45043</v>
      </c>
      <c r="I54" t="s">
        <v>28</v>
      </c>
      <c r="J54" s="15">
        <f>40-Table1[[#This Row],[DilutionDNA]]</f>
        <v>33.68088467614534</v>
      </c>
      <c r="K54" s="15">
        <f>(5*40)/Table1[[#This Row],[LastDNAConc]]</f>
        <v>6.3191153238546605</v>
      </c>
      <c r="L54" s="15" t="str">
        <f>IF(Table1[[#This Row],[DilutionDNA]]&gt;15,"Y","N")</f>
        <v>N</v>
      </c>
      <c r="M54">
        <v>1</v>
      </c>
      <c r="N54" t="s">
        <v>89</v>
      </c>
      <c r="O54">
        <v>3</v>
      </c>
      <c r="P54" t="s">
        <v>57</v>
      </c>
      <c r="Q54" t="s">
        <v>227</v>
      </c>
    </row>
    <row r="55" spans="1:19" x14ac:dyDescent="0.2">
      <c r="A55" t="s">
        <v>194</v>
      </c>
      <c r="B55" t="s">
        <v>183</v>
      </c>
      <c r="C55" t="s">
        <v>152</v>
      </c>
      <c r="D55" t="s">
        <v>133</v>
      </c>
      <c r="E55" t="s">
        <v>134</v>
      </c>
      <c r="F55">
        <v>28</v>
      </c>
      <c r="G55">
        <v>36.5</v>
      </c>
      <c r="H55" s="16">
        <v>45043</v>
      </c>
      <c r="I55" t="s">
        <v>28</v>
      </c>
      <c r="J55" s="15">
        <f>40-Table1[[#This Row],[DilutionDNA]]</f>
        <v>34.520547945205479</v>
      </c>
      <c r="K55" s="15">
        <f>(5*40)/Table1[[#This Row],[LastDNAConc]]</f>
        <v>5.4794520547945202</v>
      </c>
      <c r="L55" s="15" t="str">
        <f>IF(Table1[[#This Row],[DilutionDNA]]&gt;15,"Y","N")</f>
        <v>N</v>
      </c>
      <c r="M55">
        <v>1</v>
      </c>
      <c r="N55" t="s">
        <v>90</v>
      </c>
      <c r="O55">
        <v>3</v>
      </c>
      <c r="P55" t="s">
        <v>58</v>
      </c>
      <c r="Q55" t="s">
        <v>227</v>
      </c>
    </row>
    <row r="56" spans="1:19" x14ac:dyDescent="0.2">
      <c r="A56" t="s">
        <v>195</v>
      </c>
      <c r="B56" t="s">
        <v>183</v>
      </c>
      <c r="C56" t="s">
        <v>152</v>
      </c>
      <c r="D56" t="s">
        <v>133</v>
      </c>
      <c r="E56" t="s">
        <v>134</v>
      </c>
      <c r="F56">
        <v>29</v>
      </c>
      <c r="G56">
        <f>AVERAGE(27.6,27.9)</f>
        <v>27.75</v>
      </c>
      <c r="H56" s="16">
        <v>45043</v>
      </c>
      <c r="I56" t="s">
        <v>28</v>
      </c>
      <c r="J56" s="15">
        <f>40-Table1[[#This Row],[DilutionDNA]]</f>
        <v>32.792792792792795</v>
      </c>
      <c r="K56" s="15">
        <f>(5*40)/Table1[[#This Row],[LastDNAConc]]</f>
        <v>7.2072072072072073</v>
      </c>
      <c r="L56" s="15" t="str">
        <f>IF(Table1[[#This Row],[DilutionDNA]]&gt;15,"Y","N")</f>
        <v>N</v>
      </c>
      <c r="M56">
        <v>1</v>
      </c>
      <c r="N56" t="s">
        <v>91</v>
      </c>
      <c r="O56">
        <v>3</v>
      </c>
      <c r="P56" t="s">
        <v>59</v>
      </c>
      <c r="Q56" t="s">
        <v>227</v>
      </c>
    </row>
    <row r="57" spans="1:19" x14ac:dyDescent="0.2">
      <c r="A57" t="s">
        <v>196</v>
      </c>
      <c r="B57" t="s">
        <v>183</v>
      </c>
      <c r="C57" t="s">
        <v>152</v>
      </c>
      <c r="D57" t="s">
        <v>133</v>
      </c>
      <c r="E57" t="s">
        <v>140</v>
      </c>
      <c r="F57">
        <v>27</v>
      </c>
      <c r="G57">
        <f>AVERAGE(30.9,31.2)</f>
        <v>31.049999999999997</v>
      </c>
      <c r="H57" s="16">
        <v>45043</v>
      </c>
      <c r="I57" t="s">
        <v>28</v>
      </c>
      <c r="J57" s="15">
        <f>40-Table1[[#This Row],[DilutionDNA]]</f>
        <v>33.558776167471819</v>
      </c>
      <c r="K57" s="15">
        <f>(5*40)/Table1[[#This Row],[LastDNAConc]]</f>
        <v>6.4412238325281805</v>
      </c>
      <c r="L57" s="15" t="str">
        <f>IF(Table1[[#This Row],[DilutionDNA]]&gt;15,"Y","N")</f>
        <v>N</v>
      </c>
      <c r="M57">
        <v>1</v>
      </c>
      <c r="N57" t="s">
        <v>92</v>
      </c>
      <c r="O57">
        <v>3</v>
      </c>
      <c r="P57" t="s">
        <v>60</v>
      </c>
      <c r="Q57" t="s">
        <v>227</v>
      </c>
    </row>
    <row r="58" spans="1:19" x14ac:dyDescent="0.2">
      <c r="A58" t="s">
        <v>197</v>
      </c>
      <c r="B58" t="s">
        <v>183</v>
      </c>
      <c r="C58" t="s">
        <v>152</v>
      </c>
      <c r="D58" t="s">
        <v>133</v>
      </c>
      <c r="E58" t="s">
        <v>140</v>
      </c>
      <c r="F58">
        <v>28</v>
      </c>
      <c r="G58">
        <v>26.8</v>
      </c>
      <c r="H58" s="16">
        <v>45043</v>
      </c>
      <c r="I58" t="s">
        <v>28</v>
      </c>
      <c r="J58" s="15">
        <f>40-Table1[[#This Row],[DilutionDNA]]</f>
        <v>32.537313432835823</v>
      </c>
      <c r="K58" s="15">
        <f>(5*40)/Table1[[#This Row],[LastDNAConc]]</f>
        <v>7.4626865671641793</v>
      </c>
      <c r="L58" s="15" t="str">
        <f>IF(Table1[[#This Row],[DilutionDNA]]&gt;15,"Y","N")</f>
        <v>N</v>
      </c>
      <c r="M58">
        <v>1</v>
      </c>
      <c r="N58" t="s">
        <v>93</v>
      </c>
      <c r="O58">
        <v>3</v>
      </c>
      <c r="P58" t="s">
        <v>61</v>
      </c>
      <c r="Q58" t="s">
        <v>227</v>
      </c>
    </row>
    <row r="59" spans="1:19" x14ac:dyDescent="0.2">
      <c r="A59" t="s">
        <v>198</v>
      </c>
      <c r="B59" t="s">
        <v>183</v>
      </c>
      <c r="C59" t="s">
        <v>152</v>
      </c>
      <c r="D59" t="s">
        <v>133</v>
      </c>
      <c r="E59" t="s">
        <v>140</v>
      </c>
      <c r="F59">
        <v>29</v>
      </c>
      <c r="G59">
        <f>AVERAGE(30.1,30.6)</f>
        <v>30.35</v>
      </c>
      <c r="H59" s="16">
        <v>45043</v>
      </c>
      <c r="I59" t="s">
        <v>28</v>
      </c>
      <c r="J59" s="15">
        <f>40-Table1[[#This Row],[DilutionDNA]]</f>
        <v>33.410214168039538</v>
      </c>
      <c r="K59" s="15">
        <f>(5*40)/Table1[[#This Row],[LastDNAConc]]</f>
        <v>6.5897858319604614</v>
      </c>
      <c r="L59" s="15" t="str">
        <f>IF(Table1[[#This Row],[DilutionDNA]]&gt;15,"Y","N")</f>
        <v>N</v>
      </c>
      <c r="M59">
        <v>1</v>
      </c>
      <c r="N59" t="s">
        <v>94</v>
      </c>
      <c r="O59">
        <v>3</v>
      </c>
      <c r="P59" t="s">
        <v>62</v>
      </c>
      <c r="Q59" t="s">
        <v>227</v>
      </c>
    </row>
    <row r="60" spans="1:19" x14ac:dyDescent="0.2">
      <c r="A60" t="s">
        <v>199</v>
      </c>
      <c r="B60" t="s">
        <v>183</v>
      </c>
      <c r="C60" t="s">
        <v>152</v>
      </c>
      <c r="D60" t="s">
        <v>146</v>
      </c>
      <c r="E60" t="s">
        <v>134</v>
      </c>
      <c r="F60">
        <v>30</v>
      </c>
      <c r="G60">
        <v>35.9</v>
      </c>
      <c r="H60" s="16">
        <v>45043</v>
      </c>
      <c r="I60" t="s">
        <v>28</v>
      </c>
      <c r="J60" s="15">
        <f>40-Table1[[#This Row],[DilutionDNA]]</f>
        <v>34.428969359331475</v>
      </c>
      <c r="K60" s="15">
        <f>(5*40)/Table1[[#This Row],[LastDNAConc]]</f>
        <v>5.5710306406685239</v>
      </c>
      <c r="L60" s="15" t="str">
        <f>IF(Table1[[#This Row],[DilutionDNA]]&gt;15,"Y","N")</f>
        <v>N</v>
      </c>
      <c r="M60">
        <v>1</v>
      </c>
      <c r="N60" t="s">
        <v>37</v>
      </c>
      <c r="O60">
        <v>3</v>
      </c>
      <c r="P60" t="s">
        <v>33</v>
      </c>
      <c r="Q60" t="s">
        <v>227</v>
      </c>
    </row>
    <row r="61" spans="1:19" x14ac:dyDescent="0.2">
      <c r="A61" t="s">
        <v>200</v>
      </c>
      <c r="B61" t="s">
        <v>183</v>
      </c>
      <c r="C61" t="s">
        <v>152</v>
      </c>
      <c r="D61" t="s">
        <v>146</v>
      </c>
      <c r="E61" t="s">
        <v>140</v>
      </c>
      <c r="F61">
        <v>30</v>
      </c>
      <c r="G61">
        <f>AVERAGE(34.1,34.2)</f>
        <v>34.150000000000006</v>
      </c>
      <c r="H61" s="16">
        <v>45043</v>
      </c>
      <c r="I61" t="s">
        <v>28</v>
      </c>
      <c r="J61" s="15">
        <f>40-Table1[[#This Row],[DilutionDNA]]</f>
        <v>34.143484626647144</v>
      </c>
      <c r="K61" s="15">
        <f>(5*40)/Table1[[#This Row],[LastDNAConc]]</f>
        <v>5.8565153733528543</v>
      </c>
      <c r="L61" s="15" t="str">
        <f>IF(Table1[[#This Row],[DilutionDNA]]&gt;15,"Y","N")</f>
        <v>N</v>
      </c>
      <c r="M61">
        <v>1</v>
      </c>
      <c r="N61" t="s">
        <v>95</v>
      </c>
      <c r="O61">
        <v>3</v>
      </c>
      <c r="P61" t="s">
        <v>49</v>
      </c>
      <c r="Q61" t="s">
        <v>227</v>
      </c>
    </row>
    <row r="62" spans="1:19" x14ac:dyDescent="0.2">
      <c r="A62" t="s">
        <v>201</v>
      </c>
      <c r="B62" t="s">
        <v>136</v>
      </c>
      <c r="C62" t="s">
        <v>132</v>
      </c>
      <c r="D62" t="s">
        <v>133</v>
      </c>
      <c r="E62" t="s">
        <v>134</v>
      </c>
      <c r="F62">
        <v>31</v>
      </c>
      <c r="G62">
        <f>AVERAGE(21.1,21.2)</f>
        <v>21.15</v>
      </c>
      <c r="H62" s="16">
        <v>45043</v>
      </c>
      <c r="I62" t="s">
        <v>28</v>
      </c>
      <c r="J62" s="15">
        <f>40-Table1[[#This Row],[DilutionDNA]]</f>
        <v>30.543735224586285</v>
      </c>
      <c r="K62" s="15">
        <f>(5*40)/Table1[[#This Row],[LastDNAConc]]</f>
        <v>9.4562647754137128</v>
      </c>
      <c r="L62" s="15" t="str">
        <f>IF(Table1[[#This Row],[DilutionDNA]]&gt;15,"Y","N")</f>
        <v>N</v>
      </c>
      <c r="M62">
        <v>1</v>
      </c>
      <c r="N62" t="s">
        <v>96</v>
      </c>
      <c r="O62">
        <v>3</v>
      </c>
      <c r="P62" t="s">
        <v>63</v>
      </c>
      <c r="Q62" t="s">
        <v>227</v>
      </c>
    </row>
    <row r="63" spans="1:19" x14ac:dyDescent="0.2">
      <c r="A63" t="s">
        <v>202</v>
      </c>
      <c r="B63" t="s">
        <v>136</v>
      </c>
      <c r="C63" t="s">
        <v>132</v>
      </c>
      <c r="D63" t="s">
        <v>133</v>
      </c>
      <c r="E63" t="s">
        <v>134</v>
      </c>
      <c r="F63">
        <v>32</v>
      </c>
      <c r="G63">
        <v>16.399999999999999</v>
      </c>
      <c r="H63" s="16">
        <v>45043</v>
      </c>
      <c r="I63" t="s">
        <v>28</v>
      </c>
      <c r="J63" s="15">
        <f>40-Table1[[#This Row],[DilutionDNA]]</f>
        <v>27.804878048780488</v>
      </c>
      <c r="K63" s="15">
        <f>(5*40)/Table1[[#This Row],[LastDNAConc]]</f>
        <v>12.195121951219512</v>
      </c>
      <c r="L63" s="15" t="str">
        <f>IF(Table1[[#This Row],[DilutionDNA]]&gt;15,"Y","N")</f>
        <v>N</v>
      </c>
      <c r="M63">
        <v>1</v>
      </c>
      <c r="N63" t="s">
        <v>97</v>
      </c>
      <c r="O63">
        <v>3</v>
      </c>
      <c r="P63" t="s">
        <v>64</v>
      </c>
      <c r="Q63" t="s">
        <v>227</v>
      </c>
    </row>
    <row r="64" spans="1:19" x14ac:dyDescent="0.2">
      <c r="A64" t="s">
        <v>203</v>
      </c>
      <c r="B64" t="s">
        <v>136</v>
      </c>
      <c r="C64" t="s">
        <v>132</v>
      </c>
      <c r="D64" t="s">
        <v>133</v>
      </c>
      <c r="E64" t="s">
        <v>134</v>
      </c>
      <c r="F64">
        <v>33</v>
      </c>
      <c r="G64">
        <v>17.2</v>
      </c>
      <c r="H64" s="16">
        <v>45043</v>
      </c>
      <c r="I64" t="s">
        <v>28</v>
      </c>
      <c r="J64" s="15">
        <f>40-Table1[[#This Row],[DilutionDNA]]</f>
        <v>28.372093023255815</v>
      </c>
      <c r="K64" s="15">
        <f>(5*40)/Table1[[#This Row],[LastDNAConc]]</f>
        <v>11.627906976744187</v>
      </c>
      <c r="L64" s="15" t="str">
        <f>IF(Table1[[#This Row],[DilutionDNA]]&gt;15,"Y","N")</f>
        <v>N</v>
      </c>
      <c r="M64">
        <v>1</v>
      </c>
      <c r="N64" t="s">
        <v>98</v>
      </c>
      <c r="O64">
        <v>3</v>
      </c>
      <c r="P64" t="s">
        <v>65</v>
      </c>
      <c r="Q64" t="s">
        <v>227</v>
      </c>
      <c r="S64" s="18" t="s">
        <v>229</v>
      </c>
    </row>
    <row r="65" spans="1:17" x14ac:dyDescent="0.2">
      <c r="A65" t="s">
        <v>204</v>
      </c>
      <c r="B65" t="s">
        <v>136</v>
      </c>
      <c r="C65" t="s">
        <v>132</v>
      </c>
      <c r="D65" t="s">
        <v>133</v>
      </c>
      <c r="E65" t="s">
        <v>140</v>
      </c>
      <c r="F65">
        <v>31</v>
      </c>
      <c r="G65">
        <f>AVERAGE(21.6,21.1)</f>
        <v>21.35</v>
      </c>
      <c r="H65" s="16">
        <v>45043</v>
      </c>
      <c r="I65" t="s">
        <v>28</v>
      </c>
      <c r="J65" s="15">
        <f>40-Table1[[#This Row],[DilutionDNA]]</f>
        <v>30.63231850117096</v>
      </c>
      <c r="K65" s="15">
        <f>(5*40)/Table1[[#This Row],[LastDNAConc]]</f>
        <v>9.3676814988290396</v>
      </c>
      <c r="L65" s="15" t="str">
        <f>IF(Table1[[#This Row],[DilutionDNA]]&gt;15,"Y","N")</f>
        <v>N</v>
      </c>
      <c r="M65">
        <v>1</v>
      </c>
      <c r="N65" t="s">
        <v>99</v>
      </c>
      <c r="O65">
        <v>3</v>
      </c>
      <c r="P65" t="s">
        <v>66</v>
      </c>
      <c r="Q65" t="s">
        <v>227</v>
      </c>
    </row>
    <row r="66" spans="1:17" x14ac:dyDescent="0.2">
      <c r="A66" t="s">
        <v>205</v>
      </c>
      <c r="B66" t="s">
        <v>136</v>
      </c>
      <c r="C66" t="s">
        <v>132</v>
      </c>
      <c r="D66" t="s">
        <v>133</v>
      </c>
      <c r="E66" t="s">
        <v>140</v>
      </c>
      <c r="F66">
        <v>32</v>
      </c>
      <c r="G66">
        <v>12.2</v>
      </c>
      <c r="H66" s="16">
        <v>45043</v>
      </c>
      <c r="I66" t="s">
        <v>28</v>
      </c>
      <c r="J66" s="15">
        <f>40-Table1[[#This Row],[DilutionDNA]]</f>
        <v>23.606557377049178</v>
      </c>
      <c r="K66" s="15">
        <f>(5*40)/Table1[[#This Row],[LastDNAConc]]</f>
        <v>16.393442622950822</v>
      </c>
      <c r="L66" s="15" t="str">
        <f>IF(Table1[[#This Row],[DilutionDNA]]&gt;15,"Y","N")</f>
        <v>Y</v>
      </c>
      <c r="M66">
        <v>1</v>
      </c>
      <c r="N66" t="s">
        <v>100</v>
      </c>
      <c r="O66">
        <v>3</v>
      </c>
      <c r="P66" t="s">
        <v>67</v>
      </c>
    </row>
    <row r="67" spans="1:17" x14ac:dyDescent="0.2">
      <c r="A67" t="s">
        <v>206</v>
      </c>
      <c r="B67" t="s">
        <v>136</v>
      </c>
      <c r="C67" t="s">
        <v>132</v>
      </c>
      <c r="D67" t="s">
        <v>133</v>
      </c>
      <c r="E67" t="s">
        <v>140</v>
      </c>
      <c r="F67">
        <v>33</v>
      </c>
      <c r="G67">
        <f>AVERAGE(24.2,23.9)</f>
        <v>24.049999999999997</v>
      </c>
      <c r="H67" s="16">
        <v>45043</v>
      </c>
      <c r="I67" t="s">
        <v>28</v>
      </c>
      <c r="J67" s="15">
        <f>40-Table1[[#This Row],[DilutionDNA]]</f>
        <v>31.683991683991685</v>
      </c>
      <c r="K67" s="15">
        <f>(5*40)/Table1[[#This Row],[LastDNAConc]]</f>
        <v>8.3160083160083165</v>
      </c>
      <c r="L67" s="15" t="str">
        <f>IF(Table1[[#This Row],[DilutionDNA]]&gt;15,"Y","N")</f>
        <v>N</v>
      </c>
      <c r="M67">
        <v>1</v>
      </c>
      <c r="N67" t="s">
        <v>101</v>
      </c>
      <c r="O67">
        <v>3</v>
      </c>
      <c r="P67" t="s">
        <v>68</v>
      </c>
      <c r="Q67" t="s">
        <v>227</v>
      </c>
    </row>
    <row r="68" spans="1:17" x14ac:dyDescent="0.2">
      <c r="A68" t="s">
        <v>207</v>
      </c>
      <c r="B68" t="s">
        <v>136</v>
      </c>
      <c r="C68" t="s">
        <v>132</v>
      </c>
      <c r="D68" t="s">
        <v>146</v>
      </c>
      <c r="E68" t="s">
        <v>134</v>
      </c>
      <c r="F68">
        <v>34</v>
      </c>
      <c r="G68">
        <v>25.4</v>
      </c>
      <c r="H68" s="16">
        <v>45043</v>
      </c>
      <c r="I68" t="s">
        <v>28</v>
      </c>
      <c r="J68" s="15">
        <f>40-Table1[[#This Row],[DilutionDNA]]</f>
        <v>32.125984251968504</v>
      </c>
      <c r="K68" s="15">
        <f>(5*40)/Table1[[#This Row],[LastDNAConc]]</f>
        <v>7.8740157480314963</v>
      </c>
      <c r="L68" s="15" t="str">
        <f>IF(Table1[[#This Row],[DilutionDNA]]&gt;15,"Y","N")</f>
        <v>N</v>
      </c>
      <c r="M68">
        <v>1</v>
      </c>
      <c r="N68" t="s">
        <v>102</v>
      </c>
      <c r="O68">
        <v>4</v>
      </c>
      <c r="P68" t="s">
        <v>51</v>
      </c>
      <c r="Q68" t="s">
        <v>227</v>
      </c>
    </row>
    <row r="69" spans="1:17" x14ac:dyDescent="0.2">
      <c r="A69" t="s">
        <v>208</v>
      </c>
      <c r="B69" t="s">
        <v>136</v>
      </c>
      <c r="C69" t="s">
        <v>132</v>
      </c>
      <c r="D69" t="s">
        <v>146</v>
      </c>
      <c r="E69" t="s">
        <v>134</v>
      </c>
      <c r="F69">
        <v>35</v>
      </c>
      <c r="G69">
        <f>AVERAGE(25,25.1)</f>
        <v>25.05</v>
      </c>
      <c r="H69" s="16">
        <v>45043</v>
      </c>
      <c r="I69" t="s">
        <v>28</v>
      </c>
      <c r="J69" s="15">
        <f>40-Table1[[#This Row],[DilutionDNA]]</f>
        <v>32.015968063872258</v>
      </c>
      <c r="K69" s="15">
        <f>(5*40)/Table1[[#This Row],[LastDNAConc]]</f>
        <v>7.9840319361277441</v>
      </c>
      <c r="L69" s="15" t="str">
        <f>IF(Table1[[#This Row],[DilutionDNA]]&gt;15,"Y","N")</f>
        <v>N</v>
      </c>
      <c r="M69">
        <v>1</v>
      </c>
      <c r="N69" t="s">
        <v>103</v>
      </c>
      <c r="O69">
        <v>4</v>
      </c>
      <c r="P69" t="s">
        <v>52</v>
      </c>
      <c r="Q69" t="s">
        <v>227</v>
      </c>
    </row>
    <row r="70" spans="1:17" x14ac:dyDescent="0.2">
      <c r="A70" t="s">
        <v>209</v>
      </c>
      <c r="B70" t="s">
        <v>136</v>
      </c>
      <c r="C70" t="s">
        <v>132</v>
      </c>
      <c r="D70" t="s">
        <v>146</v>
      </c>
      <c r="E70" t="s">
        <v>134</v>
      </c>
      <c r="F70">
        <v>36</v>
      </c>
      <c r="G70">
        <f>AVERAGE(45.8,46.3)</f>
        <v>46.05</v>
      </c>
      <c r="H70" s="16">
        <v>45043</v>
      </c>
      <c r="I70" t="s">
        <v>28</v>
      </c>
      <c r="J70" s="15">
        <f>40-Table1[[#This Row],[DilutionDNA]]</f>
        <v>35.656894679695981</v>
      </c>
      <c r="K70" s="15">
        <f>(5*40)/Table1[[#This Row],[LastDNAConc]]</f>
        <v>4.3431053203040175</v>
      </c>
      <c r="L70" s="15" t="str">
        <f>IF(Table1[[#This Row],[DilutionDNA]]&gt;15,"Y","N")</f>
        <v>N</v>
      </c>
      <c r="M70">
        <v>1</v>
      </c>
      <c r="N70" t="s">
        <v>104</v>
      </c>
      <c r="O70">
        <v>4</v>
      </c>
      <c r="P70" t="s">
        <v>53</v>
      </c>
      <c r="Q70" t="s">
        <v>227</v>
      </c>
    </row>
    <row r="71" spans="1:17" x14ac:dyDescent="0.2">
      <c r="A71" t="s">
        <v>210</v>
      </c>
      <c r="B71" t="s">
        <v>136</v>
      </c>
      <c r="C71" t="s">
        <v>132</v>
      </c>
      <c r="D71" t="s">
        <v>146</v>
      </c>
      <c r="E71" t="s">
        <v>140</v>
      </c>
      <c r="F71">
        <v>34</v>
      </c>
      <c r="G71">
        <f>AVERAGE(21.2,21.3)</f>
        <v>21.25</v>
      </c>
      <c r="H71" s="16">
        <v>45043</v>
      </c>
      <c r="I71" t="s">
        <v>28</v>
      </c>
      <c r="J71" s="15">
        <f>40-Table1[[#This Row],[DilutionDNA]]</f>
        <v>30.588235294117645</v>
      </c>
      <c r="K71" s="15">
        <f>(5*40)/Table1[[#This Row],[LastDNAConc]]</f>
        <v>9.4117647058823533</v>
      </c>
      <c r="L71" s="15" t="str">
        <f>IF(Table1[[#This Row],[DilutionDNA]]&gt;15,"Y","N")</f>
        <v>N</v>
      </c>
      <c r="M71">
        <v>1</v>
      </c>
      <c r="N71" t="s">
        <v>105</v>
      </c>
      <c r="O71">
        <v>4</v>
      </c>
      <c r="P71" t="s">
        <v>54</v>
      </c>
      <c r="Q71" t="s">
        <v>227</v>
      </c>
    </row>
    <row r="72" spans="1:17" x14ac:dyDescent="0.2">
      <c r="A72" t="s">
        <v>211</v>
      </c>
      <c r="B72" t="s">
        <v>136</v>
      </c>
      <c r="C72" t="s">
        <v>132</v>
      </c>
      <c r="D72" t="s">
        <v>146</v>
      </c>
      <c r="E72" t="s">
        <v>140</v>
      </c>
      <c r="F72">
        <v>35</v>
      </c>
      <c r="G72">
        <f>AVERAGE(17.6,17.7)</f>
        <v>17.649999999999999</v>
      </c>
      <c r="H72" s="16">
        <v>45043</v>
      </c>
      <c r="I72" t="s">
        <v>28</v>
      </c>
      <c r="J72" s="15">
        <f>40-Table1[[#This Row],[DilutionDNA]]</f>
        <v>28.6685552407932</v>
      </c>
      <c r="K72" s="15">
        <f>(5*40)/Table1[[#This Row],[LastDNAConc]]</f>
        <v>11.3314447592068</v>
      </c>
      <c r="L72" s="15" t="str">
        <f>IF(Table1[[#This Row],[DilutionDNA]]&gt;15,"Y","N")</f>
        <v>N</v>
      </c>
      <c r="M72">
        <v>1</v>
      </c>
      <c r="N72" t="s">
        <v>106</v>
      </c>
      <c r="O72">
        <v>4</v>
      </c>
      <c r="P72" t="s">
        <v>55</v>
      </c>
      <c r="Q72" t="s">
        <v>227</v>
      </c>
    </row>
    <row r="73" spans="1:17" x14ac:dyDescent="0.2">
      <c r="A73" t="s">
        <v>212</v>
      </c>
      <c r="B73" t="s">
        <v>136</v>
      </c>
      <c r="C73" t="s">
        <v>132</v>
      </c>
      <c r="D73" t="s">
        <v>146</v>
      </c>
      <c r="E73" t="s">
        <v>140</v>
      </c>
      <c r="F73">
        <v>36</v>
      </c>
      <c r="G73">
        <f>AVERAGE(38.1,37.6)</f>
        <v>37.85</v>
      </c>
      <c r="H73" s="16">
        <v>45043</v>
      </c>
      <c r="I73" t="s">
        <v>28</v>
      </c>
      <c r="J73" s="15">
        <f>40-Table1[[#This Row],[DilutionDNA]]</f>
        <v>34.71598414795244</v>
      </c>
      <c r="K73" s="15">
        <f>(5*40)/Table1[[#This Row],[LastDNAConc]]</f>
        <v>5.2840158520475562</v>
      </c>
      <c r="L73" s="15" t="str">
        <f>IF(Table1[[#This Row],[DilutionDNA]]&gt;15,"Y","N")</f>
        <v>N</v>
      </c>
      <c r="M73">
        <v>1</v>
      </c>
      <c r="N73" t="s">
        <v>107</v>
      </c>
      <c r="O73">
        <v>4</v>
      </c>
      <c r="P73" t="s">
        <v>56</v>
      </c>
      <c r="Q73" t="s">
        <v>227</v>
      </c>
    </row>
    <row r="74" spans="1:17" x14ac:dyDescent="0.2">
      <c r="A74" t="s">
        <v>213</v>
      </c>
      <c r="B74" t="s">
        <v>136</v>
      </c>
      <c r="C74" t="s">
        <v>152</v>
      </c>
      <c r="D74" t="s">
        <v>133</v>
      </c>
      <c r="E74" t="s">
        <v>134</v>
      </c>
      <c r="F74">
        <v>37</v>
      </c>
      <c r="G74">
        <f>AVERAGE(18.1,18.6)</f>
        <v>18.350000000000001</v>
      </c>
      <c r="H74" s="16">
        <v>45043</v>
      </c>
      <c r="I74" t="s">
        <v>28</v>
      </c>
      <c r="J74" s="15">
        <f>40-Table1[[#This Row],[DilutionDNA]]</f>
        <v>29.100817438692097</v>
      </c>
      <c r="K74" s="15">
        <f>(5*40)/Table1[[#This Row],[LastDNAConc]]</f>
        <v>10.899182561307901</v>
      </c>
      <c r="L74" s="15" t="str">
        <f>IF(Table1[[#This Row],[DilutionDNA]]&gt;15,"Y","N")</f>
        <v>N</v>
      </c>
      <c r="M74">
        <v>1</v>
      </c>
      <c r="N74" t="s">
        <v>38</v>
      </c>
      <c r="O74">
        <v>4</v>
      </c>
      <c r="P74" t="s">
        <v>47</v>
      </c>
      <c r="Q74" t="s">
        <v>227</v>
      </c>
    </row>
    <row r="75" spans="1:17" x14ac:dyDescent="0.2">
      <c r="A75" t="s">
        <v>214</v>
      </c>
      <c r="B75" t="s">
        <v>136</v>
      </c>
      <c r="C75" t="s">
        <v>152</v>
      </c>
      <c r="D75" t="s">
        <v>133</v>
      </c>
      <c r="E75" t="s">
        <v>134</v>
      </c>
      <c r="F75">
        <v>38</v>
      </c>
      <c r="G75">
        <f>AVERAGE(15.8,16.2)</f>
        <v>16</v>
      </c>
      <c r="H75" s="16">
        <v>45043</v>
      </c>
      <c r="I75" t="s">
        <v>28</v>
      </c>
      <c r="J75" s="15">
        <f>40-Table1[[#This Row],[DilutionDNA]]</f>
        <v>27.5</v>
      </c>
      <c r="K75" s="15">
        <f>(5*40)/Table1[[#This Row],[LastDNAConc]]</f>
        <v>12.5</v>
      </c>
      <c r="L75" s="15" t="str">
        <f>IF(Table1[[#This Row],[DilutionDNA]]&gt;15,"Y","N")</f>
        <v>N</v>
      </c>
      <c r="M75">
        <v>1</v>
      </c>
      <c r="N75" t="s">
        <v>108</v>
      </c>
      <c r="O75">
        <v>4</v>
      </c>
      <c r="P75" t="s">
        <v>48</v>
      </c>
      <c r="Q75" t="s">
        <v>227</v>
      </c>
    </row>
    <row r="76" spans="1:17" x14ac:dyDescent="0.2">
      <c r="A76" t="s">
        <v>215</v>
      </c>
      <c r="B76" t="s">
        <v>136</v>
      </c>
      <c r="C76" t="s">
        <v>152</v>
      </c>
      <c r="D76" t="s">
        <v>133</v>
      </c>
      <c r="E76" t="s">
        <v>134</v>
      </c>
      <c r="F76">
        <v>39</v>
      </c>
      <c r="G76">
        <v>19.8</v>
      </c>
      <c r="H76" s="16">
        <v>45043</v>
      </c>
      <c r="I76" t="s">
        <v>28</v>
      </c>
      <c r="J76" s="15">
        <f>40-Table1[[#This Row],[DilutionDNA]]</f>
        <v>29.8989898989899</v>
      </c>
      <c r="K76" s="15">
        <f>(5*40)/Table1[[#This Row],[LastDNAConc]]</f>
        <v>10.1010101010101</v>
      </c>
      <c r="L76" s="15" t="str">
        <f>IF(Table1[[#This Row],[DilutionDNA]]&gt;15,"Y","N")</f>
        <v>N</v>
      </c>
      <c r="M76">
        <v>1</v>
      </c>
      <c r="N76" t="s">
        <v>109</v>
      </c>
      <c r="O76">
        <v>4</v>
      </c>
      <c r="P76" t="s">
        <v>57</v>
      </c>
      <c r="Q76" t="s">
        <v>227</v>
      </c>
    </row>
    <row r="77" spans="1:17" x14ac:dyDescent="0.2">
      <c r="A77" t="s">
        <v>216</v>
      </c>
      <c r="B77" t="s">
        <v>136</v>
      </c>
      <c r="C77" t="s">
        <v>152</v>
      </c>
      <c r="D77" t="s">
        <v>133</v>
      </c>
      <c r="E77" t="s">
        <v>140</v>
      </c>
      <c r="F77">
        <v>37</v>
      </c>
      <c r="G77">
        <v>17.7</v>
      </c>
      <c r="H77" s="16">
        <v>45043</v>
      </c>
      <c r="I77" t="s">
        <v>28</v>
      </c>
      <c r="J77" s="15">
        <f>40-Table1[[#This Row],[DilutionDNA]]</f>
        <v>28.700564971751412</v>
      </c>
      <c r="K77" s="15">
        <f>(5*40)/Table1[[#This Row],[LastDNAConc]]</f>
        <v>11.299435028248588</v>
      </c>
      <c r="L77" s="15" t="str">
        <f>IF(Table1[[#This Row],[DilutionDNA]]&gt;15,"Y","N")</f>
        <v>N</v>
      </c>
      <c r="M77">
        <v>1</v>
      </c>
      <c r="N77" t="s">
        <v>110</v>
      </c>
      <c r="O77">
        <v>4</v>
      </c>
      <c r="P77" t="s">
        <v>58</v>
      </c>
      <c r="Q77" t="s">
        <v>227</v>
      </c>
    </row>
    <row r="78" spans="1:17" x14ac:dyDescent="0.2">
      <c r="A78" t="s">
        <v>217</v>
      </c>
      <c r="B78" t="s">
        <v>136</v>
      </c>
      <c r="C78" t="s">
        <v>152</v>
      </c>
      <c r="D78" t="s">
        <v>133</v>
      </c>
      <c r="E78" t="s">
        <v>140</v>
      </c>
      <c r="F78">
        <v>38</v>
      </c>
      <c r="G78">
        <v>32.799999999999997</v>
      </c>
      <c r="H78" s="16">
        <v>45043</v>
      </c>
      <c r="I78" t="s">
        <v>28</v>
      </c>
      <c r="J78" s="15">
        <f>40-Table1[[#This Row],[DilutionDNA]]</f>
        <v>33.902439024390247</v>
      </c>
      <c r="K78" s="15">
        <f>(5*40)/Table1[[#This Row],[LastDNAConc]]</f>
        <v>6.0975609756097562</v>
      </c>
      <c r="L78" s="15" t="str">
        <f>IF(Table1[[#This Row],[DilutionDNA]]&gt;15,"Y","N")</f>
        <v>N</v>
      </c>
      <c r="M78">
        <v>1</v>
      </c>
      <c r="N78" t="s">
        <v>111</v>
      </c>
      <c r="O78">
        <v>4</v>
      </c>
      <c r="P78" t="s">
        <v>59</v>
      </c>
      <c r="Q78" t="s">
        <v>227</v>
      </c>
    </row>
    <row r="79" spans="1:17" x14ac:dyDescent="0.2">
      <c r="A79" t="s">
        <v>218</v>
      </c>
      <c r="B79" t="s">
        <v>136</v>
      </c>
      <c r="C79" t="s">
        <v>152</v>
      </c>
      <c r="D79" t="s">
        <v>133</v>
      </c>
      <c r="E79" t="s">
        <v>140</v>
      </c>
      <c r="F79">
        <v>39</v>
      </c>
      <c r="G79">
        <f>AVERAGE(26.6,26.5)</f>
        <v>26.55</v>
      </c>
      <c r="H79" s="16">
        <v>45043</v>
      </c>
      <c r="I79" t="s">
        <v>28</v>
      </c>
      <c r="J79" s="15">
        <f>40-Table1[[#This Row],[DilutionDNA]]</f>
        <v>32.467043314500941</v>
      </c>
      <c r="K79" s="15">
        <f>(5*40)/Table1[[#This Row],[LastDNAConc]]</f>
        <v>7.5329566854990579</v>
      </c>
      <c r="L79" s="15" t="str">
        <f>IF(Table1[[#This Row],[DilutionDNA]]&gt;15,"Y","N")</f>
        <v>N</v>
      </c>
      <c r="M79">
        <v>1</v>
      </c>
      <c r="N79" t="s">
        <v>112</v>
      </c>
      <c r="O79">
        <v>4</v>
      </c>
      <c r="P79" t="s">
        <v>60</v>
      </c>
      <c r="Q79" t="s">
        <v>227</v>
      </c>
    </row>
    <row r="80" spans="1:17" x14ac:dyDescent="0.2">
      <c r="A80" t="s">
        <v>219</v>
      </c>
      <c r="B80" t="s">
        <v>223</v>
      </c>
      <c r="C80" t="s">
        <v>132</v>
      </c>
      <c r="D80" t="s">
        <v>146</v>
      </c>
      <c r="E80" t="s">
        <v>134</v>
      </c>
      <c r="F80">
        <v>40</v>
      </c>
      <c r="G80">
        <v>32.299999999999997</v>
      </c>
      <c r="H80" s="16">
        <v>45042</v>
      </c>
      <c r="I80" t="s">
        <v>28</v>
      </c>
      <c r="J80" s="15">
        <f>40-Table1[[#This Row],[DilutionDNA]]</f>
        <v>33.808049535603715</v>
      </c>
      <c r="K80" s="15">
        <f>(5*40)/Table1[[#This Row],[LastDNAConc]]</f>
        <v>6.1919504643962853</v>
      </c>
      <c r="L80" s="15" t="str">
        <f>IF(Table1[[#This Row],[DilutionDNA]]&gt;15,"Y","N")</f>
        <v>N</v>
      </c>
      <c r="M80">
        <v>1</v>
      </c>
      <c r="N80" t="s">
        <v>113</v>
      </c>
      <c r="O80">
        <v>4</v>
      </c>
      <c r="P80" t="s">
        <v>61</v>
      </c>
      <c r="Q80" t="s">
        <v>227</v>
      </c>
    </row>
    <row r="81" spans="1:17" x14ac:dyDescent="0.2">
      <c r="A81" t="s">
        <v>220</v>
      </c>
      <c r="B81" t="s">
        <v>223</v>
      </c>
      <c r="C81" t="s">
        <v>132</v>
      </c>
      <c r="D81" t="s">
        <v>146</v>
      </c>
      <c r="E81" t="s">
        <v>140</v>
      </c>
      <c r="F81">
        <v>40</v>
      </c>
      <c r="G81">
        <f>AVERAGE(27.9,27.8)</f>
        <v>27.85</v>
      </c>
      <c r="H81" s="16">
        <v>45042</v>
      </c>
      <c r="I81" t="s">
        <v>28</v>
      </c>
      <c r="J81" s="15">
        <f>40-Table1[[#This Row],[DilutionDNA]]</f>
        <v>32.818671454219029</v>
      </c>
      <c r="K81" s="15">
        <f>(5*40)/Table1[[#This Row],[LastDNAConc]]</f>
        <v>7.1813285457809695</v>
      </c>
      <c r="L81" s="15" t="str">
        <f>IF(Table1[[#This Row],[DilutionDNA]]&gt;15,"Y","N")</f>
        <v>N</v>
      </c>
      <c r="M81">
        <v>1</v>
      </c>
      <c r="N81" t="s">
        <v>114</v>
      </c>
      <c r="O81">
        <v>4</v>
      </c>
      <c r="P81" t="s">
        <v>62</v>
      </c>
      <c r="Q81" t="s">
        <v>227</v>
      </c>
    </row>
    <row r="82" spans="1:17" x14ac:dyDescent="0.2">
      <c r="A82" t="s">
        <v>221</v>
      </c>
      <c r="B82" t="s">
        <v>223</v>
      </c>
      <c r="C82" t="s">
        <v>152</v>
      </c>
      <c r="D82" t="s">
        <v>146</v>
      </c>
      <c r="E82" t="s">
        <v>134</v>
      </c>
      <c r="F82">
        <v>41</v>
      </c>
      <c r="G82">
        <f>AVERAGE(29.2,29.1)</f>
        <v>29.15</v>
      </c>
      <c r="H82" s="16">
        <v>45042</v>
      </c>
      <c r="I82" t="s">
        <v>28</v>
      </c>
      <c r="J82" s="15">
        <f>40-Table1[[#This Row],[DilutionDNA]]</f>
        <v>33.138936535162948</v>
      </c>
      <c r="K82" s="15">
        <f>(5*40)/Table1[[#This Row],[LastDNAConc]]</f>
        <v>6.8610634648370503</v>
      </c>
      <c r="L82" s="15" t="str">
        <f>IF(Table1[[#This Row],[DilutionDNA]]&gt;15,"Y","N")</f>
        <v>N</v>
      </c>
      <c r="M82">
        <v>1</v>
      </c>
      <c r="N82" t="s">
        <v>39</v>
      </c>
      <c r="O82">
        <v>4</v>
      </c>
      <c r="P82" t="s">
        <v>33</v>
      </c>
      <c r="Q82" t="s">
        <v>227</v>
      </c>
    </row>
    <row r="83" spans="1:17" x14ac:dyDescent="0.2">
      <c r="A83" t="s">
        <v>222</v>
      </c>
      <c r="B83" t="s">
        <v>223</v>
      </c>
      <c r="C83" t="s">
        <v>152</v>
      </c>
      <c r="D83" t="s">
        <v>146</v>
      </c>
      <c r="E83" t="s">
        <v>140</v>
      </c>
      <c r="F83">
        <v>41</v>
      </c>
      <c r="G83">
        <v>37.299999999999997</v>
      </c>
      <c r="H83" s="16">
        <v>45042</v>
      </c>
      <c r="I83" t="s">
        <v>28</v>
      </c>
      <c r="J83" s="15">
        <f>40-Table1[[#This Row],[DilutionDNA]]</f>
        <v>34.638069705093834</v>
      </c>
      <c r="K83" s="15">
        <f>(5*40)/Table1[[#This Row],[LastDNAConc]]</f>
        <v>5.3619302949061662</v>
      </c>
      <c r="L83" s="15" t="str">
        <f>IF(Table1[[#This Row],[DilutionDNA]]&gt;15,"Y","N")</f>
        <v>N</v>
      </c>
      <c r="M83">
        <v>1</v>
      </c>
      <c r="N83" t="s">
        <v>115</v>
      </c>
      <c r="O83">
        <v>4</v>
      </c>
      <c r="P83" t="s">
        <v>49</v>
      </c>
      <c r="Q83" t="s">
        <v>227</v>
      </c>
    </row>
  </sheetData>
  <phoneticPr fontId="1" type="noConversion"/>
  <pageMargins left="0.7" right="0.7" top="0.75" bottom="0.75" header="0.3" footer="0.3"/>
  <pageSetup scale="33" fitToHeight="2"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BC0C-0CED-6944-B585-1E1ECF699C46}">
  <sheetPr>
    <pageSetUpPr fitToPage="1"/>
  </sheetPr>
  <dimension ref="A1:M9"/>
  <sheetViews>
    <sheetView workbookViewId="0">
      <selection sqref="A1:M9"/>
    </sheetView>
  </sheetViews>
  <sheetFormatPr baseColWidth="10" defaultRowHeight="16" x14ac:dyDescent="0.2"/>
  <cols>
    <col min="1" max="1" width="14.83203125" customWidth="1"/>
    <col min="2" max="2" width="23.6640625" bestFit="1" customWidth="1"/>
    <col min="3" max="4" width="24.6640625" bestFit="1" customWidth="1"/>
    <col min="5" max="5" width="23.6640625" bestFit="1" customWidth="1"/>
    <col min="6" max="6" width="24.6640625" bestFit="1" customWidth="1"/>
    <col min="7" max="7" width="24.1640625" bestFit="1" customWidth="1"/>
    <col min="8" max="8" width="23.6640625" bestFit="1" customWidth="1"/>
    <col min="9" max="9" width="24.6640625" bestFit="1" customWidth="1"/>
    <col min="10" max="10" width="24.1640625" bestFit="1" customWidth="1"/>
    <col min="11" max="11" width="23.1640625" bestFit="1" customWidth="1"/>
    <col min="12" max="12" width="24.6640625" bestFit="1" customWidth="1"/>
    <col min="13" max="13" width="21.1640625" bestFit="1" customWidth="1"/>
  </cols>
  <sheetData>
    <row r="1" spans="1:13" ht="27" thickBot="1" x14ac:dyDescent="0.35">
      <c r="A1" s="1" t="s">
        <v>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26" x14ac:dyDescent="0.3">
      <c r="A2" s="4" t="s">
        <v>5</v>
      </c>
      <c r="B2" s="1"/>
      <c r="C2" s="7" t="s">
        <v>144</v>
      </c>
      <c r="D2" s="7" t="s">
        <v>154</v>
      </c>
      <c r="E2" s="7"/>
      <c r="F2" s="7" t="s">
        <v>168</v>
      </c>
      <c r="G2" s="7" t="s">
        <v>176</v>
      </c>
      <c r="H2" s="7"/>
      <c r="I2" s="7" t="s">
        <v>191</v>
      </c>
      <c r="J2" s="7" t="s">
        <v>199</v>
      </c>
      <c r="K2" s="7"/>
      <c r="L2" s="7" t="s">
        <v>213</v>
      </c>
      <c r="M2" s="8" t="s">
        <v>221</v>
      </c>
    </row>
    <row r="3" spans="1:13" ht="26" x14ac:dyDescent="0.3">
      <c r="A3" s="4" t="s">
        <v>6</v>
      </c>
      <c r="B3" s="9"/>
      <c r="C3" s="10" t="s">
        <v>145</v>
      </c>
      <c r="D3" s="10" t="s">
        <v>155</v>
      </c>
      <c r="E3" s="10"/>
      <c r="F3" s="10" t="s">
        <v>169</v>
      </c>
      <c r="G3" s="10" t="s">
        <v>177</v>
      </c>
      <c r="H3" s="10"/>
      <c r="I3" s="10" t="s">
        <v>192</v>
      </c>
      <c r="J3" s="10" t="s">
        <v>200</v>
      </c>
      <c r="K3" s="10"/>
      <c r="L3" s="10" t="s">
        <v>214</v>
      </c>
      <c r="M3" s="11" t="s">
        <v>222</v>
      </c>
    </row>
    <row r="4" spans="1:13" ht="26" x14ac:dyDescent="0.3">
      <c r="A4" s="4" t="s">
        <v>7</v>
      </c>
      <c r="B4" s="9" t="s">
        <v>141</v>
      </c>
      <c r="C4" s="10" t="s">
        <v>147</v>
      </c>
      <c r="D4" s="10" t="s">
        <v>156</v>
      </c>
      <c r="E4" s="10" t="s">
        <v>162</v>
      </c>
      <c r="F4" s="10" t="s">
        <v>170</v>
      </c>
      <c r="G4" s="10" t="s">
        <v>178</v>
      </c>
      <c r="H4" s="10" t="s">
        <v>185</v>
      </c>
      <c r="I4" s="10" t="s">
        <v>193</v>
      </c>
      <c r="J4" s="10" t="s">
        <v>201</v>
      </c>
      <c r="K4" s="10" t="s">
        <v>207</v>
      </c>
      <c r="L4" s="10" t="s">
        <v>215</v>
      </c>
      <c r="M4" s="11"/>
    </row>
    <row r="5" spans="1:13" ht="26" x14ac:dyDescent="0.3">
      <c r="A5" s="4" t="s">
        <v>8</v>
      </c>
      <c r="B5" s="9" t="s">
        <v>142</v>
      </c>
      <c r="C5" s="10" t="s">
        <v>148</v>
      </c>
      <c r="D5" s="10" t="s">
        <v>157</v>
      </c>
      <c r="E5" s="10" t="s">
        <v>163</v>
      </c>
      <c r="F5" s="10" t="s">
        <v>171</v>
      </c>
      <c r="G5" s="10" t="s">
        <v>179</v>
      </c>
      <c r="H5" s="10" t="s">
        <v>186</v>
      </c>
      <c r="I5" s="10" t="s">
        <v>194</v>
      </c>
      <c r="J5" s="10" t="s">
        <v>202</v>
      </c>
      <c r="K5" s="10" t="s">
        <v>208</v>
      </c>
      <c r="L5" s="10" t="s">
        <v>216</v>
      </c>
      <c r="M5" s="11"/>
    </row>
    <row r="6" spans="1:13" ht="26" x14ac:dyDescent="0.3">
      <c r="A6" s="4" t="s">
        <v>9</v>
      </c>
      <c r="B6" s="9" t="s">
        <v>143</v>
      </c>
      <c r="C6" s="10" t="s">
        <v>149</v>
      </c>
      <c r="D6" s="10" t="s">
        <v>158</v>
      </c>
      <c r="E6" s="10" t="s">
        <v>164</v>
      </c>
      <c r="F6" s="10" t="s">
        <v>172</v>
      </c>
      <c r="G6" s="10" t="s">
        <v>180</v>
      </c>
      <c r="H6" s="10" t="s">
        <v>187</v>
      </c>
      <c r="I6" s="10" t="s">
        <v>195</v>
      </c>
      <c r="J6" s="10" t="s">
        <v>203</v>
      </c>
      <c r="K6" s="10" t="s">
        <v>209</v>
      </c>
      <c r="L6" s="10" t="s">
        <v>217</v>
      </c>
      <c r="M6" s="11"/>
    </row>
    <row r="7" spans="1:13" ht="26" x14ac:dyDescent="0.3">
      <c r="A7" s="4" t="s">
        <v>10</v>
      </c>
      <c r="B7" s="9" t="s">
        <v>137</v>
      </c>
      <c r="C7" s="10" t="s">
        <v>150</v>
      </c>
      <c r="D7" s="10" t="s">
        <v>159</v>
      </c>
      <c r="E7" s="10" t="s">
        <v>165</v>
      </c>
      <c r="F7" s="10" t="s">
        <v>173</v>
      </c>
      <c r="G7" s="10" t="s">
        <v>181</v>
      </c>
      <c r="H7" s="10" t="s">
        <v>188</v>
      </c>
      <c r="I7" s="10" t="s">
        <v>196</v>
      </c>
      <c r="J7" s="10" t="s">
        <v>204</v>
      </c>
      <c r="K7" s="10" t="s">
        <v>210</v>
      </c>
      <c r="L7" s="10" t="s">
        <v>218</v>
      </c>
      <c r="M7" s="11"/>
    </row>
    <row r="8" spans="1:13" ht="26" x14ac:dyDescent="0.3">
      <c r="A8" s="4" t="s">
        <v>11</v>
      </c>
      <c r="B8" s="9" t="s">
        <v>138</v>
      </c>
      <c r="C8" s="10" t="s">
        <v>151</v>
      </c>
      <c r="D8" s="10" t="s">
        <v>160</v>
      </c>
      <c r="E8" s="10" t="s">
        <v>166</v>
      </c>
      <c r="F8" s="10" t="s">
        <v>174</v>
      </c>
      <c r="G8" s="10" t="s">
        <v>182</v>
      </c>
      <c r="H8" s="10" t="s">
        <v>189</v>
      </c>
      <c r="I8" s="10" t="s">
        <v>197</v>
      </c>
      <c r="J8" s="10" t="s">
        <v>205</v>
      </c>
      <c r="K8" s="10" t="s">
        <v>211</v>
      </c>
      <c r="L8" s="10" t="s">
        <v>219</v>
      </c>
      <c r="M8" s="11"/>
    </row>
    <row r="9" spans="1:13" ht="27" thickBot="1" x14ac:dyDescent="0.35">
      <c r="A9" s="5" t="s">
        <v>12</v>
      </c>
      <c r="B9" s="12" t="s">
        <v>139</v>
      </c>
      <c r="C9" s="13" t="s">
        <v>153</v>
      </c>
      <c r="D9" s="13" t="s">
        <v>161</v>
      </c>
      <c r="E9" s="13" t="s">
        <v>167</v>
      </c>
      <c r="F9" s="13" t="s">
        <v>175</v>
      </c>
      <c r="G9" s="13" t="s">
        <v>184</v>
      </c>
      <c r="H9" s="13" t="s">
        <v>190</v>
      </c>
      <c r="I9" s="13" t="s">
        <v>198</v>
      </c>
      <c r="J9" s="13" t="s">
        <v>206</v>
      </c>
      <c r="K9" s="13" t="s">
        <v>212</v>
      </c>
      <c r="L9" s="13" t="s">
        <v>220</v>
      </c>
      <c r="M9" s="14"/>
    </row>
  </sheetData>
  <phoneticPr fontId="1" type="noConversion"/>
  <pageMargins left="0.7" right="0.7" top="0.75" bottom="0.75" header="0.3" footer="0.3"/>
  <pageSetup scale="3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1286-3312-304E-96C1-5DE134ADAE53}">
  <sheetPr>
    <pageSetUpPr fitToPage="1"/>
  </sheetPr>
  <dimension ref="A1:M41"/>
  <sheetViews>
    <sheetView topLeftCell="A11" workbookViewId="0">
      <selection activeCell="G29" sqref="G29"/>
    </sheetView>
  </sheetViews>
  <sheetFormatPr baseColWidth="10" defaultRowHeight="16" x14ac:dyDescent="0.2"/>
  <cols>
    <col min="1" max="4" width="14.83203125" customWidth="1"/>
    <col min="5" max="7" width="23.6640625" bestFit="1" customWidth="1"/>
    <col min="8" max="13" width="24.6640625" bestFit="1" customWidth="1"/>
  </cols>
  <sheetData>
    <row r="1" spans="1:13" ht="27" thickBot="1" x14ac:dyDescent="0.35">
      <c r="A1" s="1" t="s">
        <v>23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26" x14ac:dyDescent="0.3">
      <c r="A2" s="4" t="s">
        <v>5</v>
      </c>
      <c r="B2" s="1" t="s">
        <v>13</v>
      </c>
      <c r="C2" s="7" t="s">
        <v>13</v>
      </c>
      <c r="D2" s="7" t="s">
        <v>13</v>
      </c>
      <c r="E2" s="7" t="s">
        <v>21</v>
      </c>
      <c r="F2" s="7" t="s">
        <v>21</v>
      </c>
      <c r="G2" s="7" t="s">
        <v>21</v>
      </c>
      <c r="H2" s="7" t="s">
        <v>144</v>
      </c>
      <c r="I2" s="7" t="s">
        <v>144</v>
      </c>
      <c r="J2" s="7" t="s">
        <v>144</v>
      </c>
      <c r="K2" s="7" t="s">
        <v>154</v>
      </c>
      <c r="L2" s="7" t="s">
        <v>154</v>
      </c>
      <c r="M2" s="7" t="s">
        <v>154</v>
      </c>
    </row>
    <row r="3" spans="1:13" ht="26" x14ac:dyDescent="0.3">
      <c r="A3" s="4" t="s">
        <v>6</v>
      </c>
      <c r="B3" s="9" t="s">
        <v>14</v>
      </c>
      <c r="C3" s="10" t="s">
        <v>14</v>
      </c>
      <c r="D3" s="10" t="s">
        <v>14</v>
      </c>
      <c r="E3" s="10" t="s">
        <v>22</v>
      </c>
      <c r="F3" s="10" t="s">
        <v>22</v>
      </c>
      <c r="G3" s="10" t="s">
        <v>22</v>
      </c>
      <c r="H3" s="10" t="s">
        <v>145</v>
      </c>
      <c r="I3" s="10" t="s">
        <v>145</v>
      </c>
      <c r="J3" s="10" t="s">
        <v>145</v>
      </c>
      <c r="K3" s="10" t="s">
        <v>155</v>
      </c>
      <c r="L3" s="10" t="s">
        <v>155</v>
      </c>
      <c r="M3" s="10" t="s">
        <v>155</v>
      </c>
    </row>
    <row r="4" spans="1:13" ht="26" x14ac:dyDescent="0.3">
      <c r="A4" s="4" t="s">
        <v>7</v>
      </c>
      <c r="B4" s="9" t="s">
        <v>15</v>
      </c>
      <c r="C4" s="10" t="s">
        <v>15</v>
      </c>
      <c r="D4" s="10" t="s">
        <v>15</v>
      </c>
      <c r="E4" s="10" t="s">
        <v>141</v>
      </c>
      <c r="F4" s="10" t="s">
        <v>141</v>
      </c>
      <c r="G4" s="10" t="s">
        <v>141</v>
      </c>
      <c r="H4" s="10" t="s">
        <v>147</v>
      </c>
      <c r="I4" s="10" t="s">
        <v>147</v>
      </c>
      <c r="J4" s="10" t="s">
        <v>147</v>
      </c>
      <c r="K4" s="10" t="s">
        <v>156</v>
      </c>
      <c r="L4" s="10" t="s">
        <v>156</v>
      </c>
      <c r="M4" s="10" t="s">
        <v>156</v>
      </c>
    </row>
    <row r="5" spans="1:13" ht="26" x14ac:dyDescent="0.3">
      <c r="A5" s="4" t="s">
        <v>8</v>
      </c>
      <c r="B5" s="9" t="s">
        <v>16</v>
      </c>
      <c r="C5" s="10" t="s">
        <v>16</v>
      </c>
      <c r="D5" s="10" t="s">
        <v>16</v>
      </c>
      <c r="E5" s="9" t="s">
        <v>142</v>
      </c>
      <c r="F5" s="9" t="s">
        <v>142</v>
      </c>
      <c r="G5" s="9" t="s">
        <v>142</v>
      </c>
      <c r="H5" s="10" t="s">
        <v>148</v>
      </c>
      <c r="I5" s="10" t="s">
        <v>148</v>
      </c>
      <c r="J5" s="10" t="s">
        <v>148</v>
      </c>
      <c r="K5" s="10" t="s">
        <v>157</v>
      </c>
      <c r="L5" s="10" t="s">
        <v>157</v>
      </c>
      <c r="M5" s="10" t="s">
        <v>157</v>
      </c>
    </row>
    <row r="6" spans="1:13" ht="26" x14ac:dyDescent="0.3">
      <c r="A6" s="4" t="s">
        <v>9</v>
      </c>
      <c r="B6" s="9" t="s">
        <v>17</v>
      </c>
      <c r="C6" s="10" t="s">
        <v>17</v>
      </c>
      <c r="D6" s="10" t="s">
        <v>17</v>
      </c>
      <c r="E6" s="9" t="s">
        <v>143</v>
      </c>
      <c r="F6" s="9" t="s">
        <v>143</v>
      </c>
      <c r="G6" s="9" t="s">
        <v>143</v>
      </c>
      <c r="H6" s="10" t="s">
        <v>149</v>
      </c>
      <c r="I6" s="10" t="s">
        <v>149</v>
      </c>
      <c r="J6" s="10" t="s">
        <v>149</v>
      </c>
      <c r="K6" s="10" t="s">
        <v>158</v>
      </c>
      <c r="L6" s="10" t="s">
        <v>158</v>
      </c>
      <c r="M6" s="10" t="s">
        <v>158</v>
      </c>
    </row>
    <row r="7" spans="1:13" ht="26" x14ac:dyDescent="0.3">
      <c r="A7" s="4" t="s">
        <v>10</v>
      </c>
      <c r="B7" s="9" t="s">
        <v>18</v>
      </c>
      <c r="C7" s="10" t="s">
        <v>18</v>
      </c>
      <c r="D7" s="10" t="s">
        <v>18</v>
      </c>
      <c r="E7" s="9" t="s">
        <v>137</v>
      </c>
      <c r="F7" s="9" t="s">
        <v>137</v>
      </c>
      <c r="G7" s="9" t="s">
        <v>137</v>
      </c>
      <c r="H7" s="10" t="s">
        <v>150</v>
      </c>
      <c r="I7" s="10" t="s">
        <v>150</v>
      </c>
      <c r="J7" s="10" t="s">
        <v>150</v>
      </c>
      <c r="K7" s="10" t="s">
        <v>159</v>
      </c>
      <c r="L7" s="10" t="s">
        <v>159</v>
      </c>
      <c r="M7" s="10" t="s">
        <v>159</v>
      </c>
    </row>
    <row r="8" spans="1:13" ht="26" x14ac:dyDescent="0.3">
      <c r="A8" s="4" t="s">
        <v>11</v>
      </c>
      <c r="B8" s="9" t="s">
        <v>19</v>
      </c>
      <c r="C8" s="10" t="s">
        <v>19</v>
      </c>
      <c r="D8" s="10" t="s">
        <v>19</v>
      </c>
      <c r="E8" s="9" t="s">
        <v>138</v>
      </c>
      <c r="F8" s="9" t="s">
        <v>138</v>
      </c>
      <c r="G8" s="9" t="s">
        <v>138</v>
      </c>
      <c r="H8" s="10" t="s">
        <v>151</v>
      </c>
      <c r="I8" s="10" t="s">
        <v>151</v>
      </c>
      <c r="J8" s="10" t="s">
        <v>151</v>
      </c>
      <c r="K8" s="10" t="s">
        <v>160</v>
      </c>
      <c r="L8" s="10" t="s">
        <v>160</v>
      </c>
      <c r="M8" s="10" t="s">
        <v>160</v>
      </c>
    </row>
    <row r="9" spans="1:13" ht="27" thickBot="1" x14ac:dyDescent="0.35">
      <c r="A9" s="5" t="s">
        <v>12</v>
      </c>
      <c r="B9" s="12" t="s">
        <v>20</v>
      </c>
      <c r="C9" s="13" t="s">
        <v>20</v>
      </c>
      <c r="D9" s="13" t="s">
        <v>20</v>
      </c>
      <c r="E9" s="12" t="s">
        <v>139</v>
      </c>
      <c r="F9" s="12" t="s">
        <v>139</v>
      </c>
      <c r="G9" s="12" t="s">
        <v>139</v>
      </c>
      <c r="H9" s="13" t="s">
        <v>153</v>
      </c>
      <c r="I9" s="13" t="s">
        <v>153</v>
      </c>
      <c r="J9" s="13" t="s">
        <v>153</v>
      </c>
      <c r="K9" s="13" t="s">
        <v>161</v>
      </c>
      <c r="L9" s="13" t="s">
        <v>161</v>
      </c>
      <c r="M9" s="13" t="s">
        <v>161</v>
      </c>
    </row>
    <row r="10" spans="1:13" ht="17" thickBo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7" thickBot="1" x14ac:dyDescent="0.35">
      <c r="A11" s="1" t="s">
        <v>24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3">
        <v>12</v>
      </c>
    </row>
    <row r="12" spans="1:13" ht="26" x14ac:dyDescent="0.3">
      <c r="A12" s="4" t="s">
        <v>5</v>
      </c>
      <c r="B12" s="1" t="s">
        <v>13</v>
      </c>
      <c r="C12" s="7" t="s">
        <v>13</v>
      </c>
      <c r="D12" s="7" t="s">
        <v>13</v>
      </c>
      <c r="E12" s="7" t="s">
        <v>21</v>
      </c>
      <c r="F12" s="7" t="s">
        <v>21</v>
      </c>
      <c r="G12" s="7" t="s">
        <v>21</v>
      </c>
      <c r="H12" s="7" t="s">
        <v>168</v>
      </c>
      <c r="I12" s="7" t="s">
        <v>168</v>
      </c>
      <c r="J12" s="7" t="s">
        <v>168</v>
      </c>
      <c r="K12" s="7" t="s">
        <v>176</v>
      </c>
      <c r="L12" s="7" t="s">
        <v>176</v>
      </c>
      <c r="M12" s="7" t="s">
        <v>176</v>
      </c>
    </row>
    <row r="13" spans="1:13" ht="26" x14ac:dyDescent="0.3">
      <c r="A13" s="4" t="s">
        <v>6</v>
      </c>
      <c r="B13" s="9" t="s">
        <v>14</v>
      </c>
      <c r="C13" s="10" t="s">
        <v>14</v>
      </c>
      <c r="D13" s="10" t="s">
        <v>14</v>
      </c>
      <c r="E13" s="10" t="s">
        <v>22</v>
      </c>
      <c r="F13" s="10" t="s">
        <v>22</v>
      </c>
      <c r="G13" s="10" t="s">
        <v>22</v>
      </c>
      <c r="H13" s="10" t="s">
        <v>169</v>
      </c>
      <c r="I13" s="10" t="s">
        <v>169</v>
      </c>
      <c r="J13" s="10" t="s">
        <v>169</v>
      </c>
      <c r="K13" s="10" t="s">
        <v>177</v>
      </c>
      <c r="L13" s="10" t="s">
        <v>177</v>
      </c>
      <c r="M13" s="10" t="s">
        <v>177</v>
      </c>
    </row>
    <row r="14" spans="1:13" ht="26" x14ac:dyDescent="0.3">
      <c r="A14" s="4" t="s">
        <v>7</v>
      </c>
      <c r="B14" s="9" t="s">
        <v>15</v>
      </c>
      <c r="C14" s="10" t="s">
        <v>15</v>
      </c>
      <c r="D14" s="10" t="s">
        <v>15</v>
      </c>
      <c r="E14" s="10" t="s">
        <v>162</v>
      </c>
      <c r="F14" s="10" t="s">
        <v>162</v>
      </c>
      <c r="G14" s="10" t="s">
        <v>162</v>
      </c>
      <c r="H14" s="10" t="s">
        <v>170</v>
      </c>
      <c r="I14" s="10" t="s">
        <v>170</v>
      </c>
      <c r="J14" s="10" t="s">
        <v>170</v>
      </c>
      <c r="K14" s="10" t="s">
        <v>178</v>
      </c>
      <c r="L14" s="10" t="s">
        <v>178</v>
      </c>
      <c r="M14" s="10" t="s">
        <v>178</v>
      </c>
    </row>
    <row r="15" spans="1:13" ht="26" x14ac:dyDescent="0.3">
      <c r="A15" s="4" t="s">
        <v>8</v>
      </c>
      <c r="B15" s="9" t="s">
        <v>16</v>
      </c>
      <c r="C15" s="10" t="s">
        <v>16</v>
      </c>
      <c r="D15" s="10" t="s">
        <v>16</v>
      </c>
      <c r="E15" s="9" t="s">
        <v>163</v>
      </c>
      <c r="F15" s="9" t="s">
        <v>163</v>
      </c>
      <c r="G15" s="9" t="s">
        <v>163</v>
      </c>
      <c r="H15" s="10" t="s">
        <v>171</v>
      </c>
      <c r="I15" s="10" t="s">
        <v>171</v>
      </c>
      <c r="J15" s="10" t="s">
        <v>171</v>
      </c>
      <c r="K15" s="10" t="s">
        <v>179</v>
      </c>
      <c r="L15" s="10" t="s">
        <v>179</v>
      </c>
      <c r="M15" s="10" t="s">
        <v>179</v>
      </c>
    </row>
    <row r="16" spans="1:13" ht="26" x14ac:dyDescent="0.3">
      <c r="A16" s="4" t="s">
        <v>9</v>
      </c>
      <c r="B16" s="9" t="s">
        <v>17</v>
      </c>
      <c r="C16" s="10" t="s">
        <v>17</v>
      </c>
      <c r="D16" s="10" t="s">
        <v>17</v>
      </c>
      <c r="E16" s="9" t="s">
        <v>164</v>
      </c>
      <c r="F16" s="9" t="s">
        <v>164</v>
      </c>
      <c r="G16" s="9" t="s">
        <v>164</v>
      </c>
      <c r="H16" s="10" t="s">
        <v>172</v>
      </c>
      <c r="I16" s="10" t="s">
        <v>172</v>
      </c>
      <c r="J16" s="10" t="s">
        <v>172</v>
      </c>
      <c r="K16" s="10" t="s">
        <v>180</v>
      </c>
      <c r="L16" s="10" t="s">
        <v>180</v>
      </c>
      <c r="M16" s="10" t="s">
        <v>180</v>
      </c>
    </row>
    <row r="17" spans="1:13" ht="26" x14ac:dyDescent="0.3">
      <c r="A17" s="4" t="s">
        <v>10</v>
      </c>
      <c r="B17" s="9" t="s">
        <v>18</v>
      </c>
      <c r="C17" s="10" t="s">
        <v>18</v>
      </c>
      <c r="D17" s="10" t="s">
        <v>18</v>
      </c>
      <c r="E17" s="9" t="s">
        <v>165</v>
      </c>
      <c r="F17" s="9" t="s">
        <v>165</v>
      </c>
      <c r="G17" s="9" t="s">
        <v>165</v>
      </c>
      <c r="H17" s="10" t="s">
        <v>173</v>
      </c>
      <c r="I17" s="10" t="s">
        <v>173</v>
      </c>
      <c r="J17" s="10" t="s">
        <v>173</v>
      </c>
      <c r="K17" s="10" t="s">
        <v>181</v>
      </c>
      <c r="L17" s="10" t="s">
        <v>181</v>
      </c>
      <c r="M17" s="10" t="s">
        <v>181</v>
      </c>
    </row>
    <row r="18" spans="1:13" ht="26" x14ac:dyDescent="0.3">
      <c r="A18" s="4" t="s">
        <v>11</v>
      </c>
      <c r="B18" s="9" t="s">
        <v>19</v>
      </c>
      <c r="C18" s="10" t="s">
        <v>19</v>
      </c>
      <c r="D18" s="10" t="s">
        <v>19</v>
      </c>
      <c r="E18" s="9" t="s">
        <v>166</v>
      </c>
      <c r="F18" s="9" t="s">
        <v>166</v>
      </c>
      <c r="G18" s="9" t="s">
        <v>166</v>
      </c>
      <c r="H18" s="10" t="s">
        <v>174</v>
      </c>
      <c r="I18" s="10" t="s">
        <v>174</v>
      </c>
      <c r="J18" s="10" t="s">
        <v>174</v>
      </c>
      <c r="K18" s="10" t="s">
        <v>182</v>
      </c>
      <c r="L18" s="10" t="s">
        <v>182</v>
      </c>
      <c r="M18" s="10" t="s">
        <v>182</v>
      </c>
    </row>
    <row r="19" spans="1:13" ht="27" thickBot="1" x14ac:dyDescent="0.35">
      <c r="A19" s="5" t="s">
        <v>12</v>
      </c>
      <c r="B19" s="12" t="s">
        <v>20</v>
      </c>
      <c r="C19" s="13" t="s">
        <v>20</v>
      </c>
      <c r="D19" s="13" t="s">
        <v>20</v>
      </c>
      <c r="E19" s="12" t="s">
        <v>167</v>
      </c>
      <c r="F19" s="12" t="s">
        <v>167</v>
      </c>
      <c r="G19" s="12" t="s">
        <v>167</v>
      </c>
      <c r="H19" s="13" t="s">
        <v>175</v>
      </c>
      <c r="I19" s="13" t="s">
        <v>175</v>
      </c>
      <c r="J19" s="13" t="s">
        <v>175</v>
      </c>
      <c r="K19" s="13" t="s">
        <v>184</v>
      </c>
      <c r="L19" s="13" t="s">
        <v>184</v>
      </c>
      <c r="M19" s="13" t="s">
        <v>184</v>
      </c>
    </row>
    <row r="20" spans="1:13" ht="17" thickBo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7" thickBot="1" x14ac:dyDescent="0.35">
      <c r="A21" s="1" t="s">
        <v>25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3">
        <v>12</v>
      </c>
    </row>
    <row r="22" spans="1:13" ht="26" x14ac:dyDescent="0.3">
      <c r="A22" s="4" t="s">
        <v>5</v>
      </c>
      <c r="B22" s="1" t="s">
        <v>13</v>
      </c>
      <c r="C22" s="7" t="s">
        <v>13</v>
      </c>
      <c r="D22" s="7" t="s">
        <v>13</v>
      </c>
      <c r="E22" s="7" t="s">
        <v>21</v>
      </c>
      <c r="F22" s="7" t="s">
        <v>21</v>
      </c>
      <c r="G22" s="7" t="s">
        <v>21</v>
      </c>
      <c r="H22" s="7" t="s">
        <v>191</v>
      </c>
      <c r="I22" s="7" t="s">
        <v>191</v>
      </c>
      <c r="J22" s="7" t="s">
        <v>191</v>
      </c>
      <c r="K22" s="7" t="s">
        <v>199</v>
      </c>
      <c r="L22" s="7" t="s">
        <v>199</v>
      </c>
      <c r="M22" s="7" t="s">
        <v>199</v>
      </c>
    </row>
    <row r="23" spans="1:13" ht="26" x14ac:dyDescent="0.3">
      <c r="A23" s="4" t="s">
        <v>6</v>
      </c>
      <c r="B23" s="9" t="s">
        <v>14</v>
      </c>
      <c r="C23" s="10" t="s">
        <v>14</v>
      </c>
      <c r="D23" s="10" t="s">
        <v>14</v>
      </c>
      <c r="E23" s="10" t="s">
        <v>22</v>
      </c>
      <c r="F23" s="10" t="s">
        <v>22</v>
      </c>
      <c r="G23" s="10" t="s">
        <v>22</v>
      </c>
      <c r="H23" s="10" t="s">
        <v>192</v>
      </c>
      <c r="I23" s="10" t="s">
        <v>192</v>
      </c>
      <c r="J23" s="10" t="s">
        <v>192</v>
      </c>
      <c r="K23" s="10" t="s">
        <v>200</v>
      </c>
      <c r="L23" s="10" t="s">
        <v>200</v>
      </c>
      <c r="M23" s="10" t="s">
        <v>200</v>
      </c>
    </row>
    <row r="24" spans="1:13" ht="26" x14ac:dyDescent="0.3">
      <c r="A24" s="4" t="s">
        <v>7</v>
      </c>
      <c r="B24" s="9" t="s">
        <v>15</v>
      </c>
      <c r="C24" s="10" t="s">
        <v>15</v>
      </c>
      <c r="D24" s="10" t="s">
        <v>15</v>
      </c>
      <c r="E24" s="10" t="s">
        <v>185</v>
      </c>
      <c r="F24" s="10" t="s">
        <v>185</v>
      </c>
      <c r="G24" s="10" t="s">
        <v>185</v>
      </c>
      <c r="H24" s="10" t="s">
        <v>193</v>
      </c>
      <c r="I24" s="10" t="s">
        <v>193</v>
      </c>
      <c r="J24" s="10" t="s">
        <v>193</v>
      </c>
      <c r="K24" s="10" t="s">
        <v>201</v>
      </c>
      <c r="L24" s="10" t="s">
        <v>201</v>
      </c>
      <c r="M24" s="10" t="s">
        <v>201</v>
      </c>
    </row>
    <row r="25" spans="1:13" ht="26" x14ac:dyDescent="0.3">
      <c r="A25" s="4" t="s">
        <v>8</v>
      </c>
      <c r="B25" s="9" t="s">
        <v>16</v>
      </c>
      <c r="C25" s="10" t="s">
        <v>16</v>
      </c>
      <c r="D25" s="10" t="s">
        <v>16</v>
      </c>
      <c r="E25" s="9" t="s">
        <v>186</v>
      </c>
      <c r="F25" s="9" t="s">
        <v>186</v>
      </c>
      <c r="G25" s="9" t="s">
        <v>186</v>
      </c>
      <c r="H25" s="10" t="s">
        <v>194</v>
      </c>
      <c r="I25" s="10" t="s">
        <v>194</v>
      </c>
      <c r="J25" s="10" t="s">
        <v>194</v>
      </c>
      <c r="K25" s="10" t="s">
        <v>202</v>
      </c>
      <c r="L25" s="10" t="s">
        <v>202</v>
      </c>
      <c r="M25" s="10" t="s">
        <v>202</v>
      </c>
    </row>
    <row r="26" spans="1:13" ht="26" x14ac:dyDescent="0.3">
      <c r="A26" s="4" t="s">
        <v>9</v>
      </c>
      <c r="B26" s="9" t="s">
        <v>17</v>
      </c>
      <c r="C26" s="10" t="s">
        <v>17</v>
      </c>
      <c r="D26" s="10" t="s">
        <v>17</v>
      </c>
      <c r="E26" s="9" t="s">
        <v>187</v>
      </c>
      <c r="F26" s="9" t="s">
        <v>187</v>
      </c>
      <c r="G26" s="9" t="s">
        <v>187</v>
      </c>
      <c r="H26" s="10" t="s">
        <v>195</v>
      </c>
      <c r="I26" s="10" t="s">
        <v>195</v>
      </c>
      <c r="J26" s="10" t="s">
        <v>195</v>
      </c>
      <c r="K26" s="10" t="s">
        <v>203</v>
      </c>
      <c r="L26" s="10" t="s">
        <v>203</v>
      </c>
      <c r="M26" s="10" t="s">
        <v>203</v>
      </c>
    </row>
    <row r="27" spans="1:13" ht="26" x14ac:dyDescent="0.3">
      <c r="A27" s="4" t="s">
        <v>10</v>
      </c>
      <c r="B27" s="9" t="s">
        <v>18</v>
      </c>
      <c r="C27" s="10" t="s">
        <v>18</v>
      </c>
      <c r="D27" s="10" t="s">
        <v>18</v>
      </c>
      <c r="E27" s="9" t="s">
        <v>188</v>
      </c>
      <c r="F27" s="9" t="s">
        <v>188</v>
      </c>
      <c r="G27" s="9" t="s">
        <v>188</v>
      </c>
      <c r="H27" s="10" t="s">
        <v>196</v>
      </c>
      <c r="I27" s="10" t="s">
        <v>196</v>
      </c>
      <c r="J27" s="10" t="s">
        <v>196</v>
      </c>
      <c r="K27" s="10" t="s">
        <v>204</v>
      </c>
      <c r="L27" s="10" t="s">
        <v>204</v>
      </c>
      <c r="M27" s="10" t="s">
        <v>204</v>
      </c>
    </row>
    <row r="28" spans="1:13" ht="26" x14ac:dyDescent="0.3">
      <c r="A28" s="4" t="s">
        <v>11</v>
      </c>
      <c r="B28" s="9" t="s">
        <v>19</v>
      </c>
      <c r="C28" s="10" t="s">
        <v>19</v>
      </c>
      <c r="D28" s="10" t="s">
        <v>19</v>
      </c>
      <c r="E28" s="9" t="s">
        <v>189</v>
      </c>
      <c r="F28" s="9" t="s">
        <v>189</v>
      </c>
      <c r="G28" s="9" t="s">
        <v>189</v>
      </c>
      <c r="H28" s="10" t="s">
        <v>197</v>
      </c>
      <c r="I28" s="10" t="s">
        <v>197</v>
      </c>
      <c r="J28" s="10" t="s">
        <v>197</v>
      </c>
      <c r="K28" s="10" t="s">
        <v>205</v>
      </c>
      <c r="L28" s="10" t="s">
        <v>205</v>
      </c>
      <c r="M28" s="10" t="s">
        <v>205</v>
      </c>
    </row>
    <row r="29" spans="1:13" ht="27" thickBot="1" x14ac:dyDescent="0.35">
      <c r="A29" s="5" t="s">
        <v>12</v>
      </c>
      <c r="B29" s="12" t="s">
        <v>20</v>
      </c>
      <c r="C29" s="13" t="s">
        <v>20</v>
      </c>
      <c r="D29" s="13" t="s">
        <v>20</v>
      </c>
      <c r="E29" s="12" t="s">
        <v>190</v>
      </c>
      <c r="F29" s="12" t="s">
        <v>190</v>
      </c>
      <c r="G29" s="12" t="s">
        <v>190</v>
      </c>
      <c r="H29" s="13" t="s">
        <v>198</v>
      </c>
      <c r="I29" s="13" t="s">
        <v>198</v>
      </c>
      <c r="J29" s="13" t="s">
        <v>198</v>
      </c>
      <c r="K29" s="13" t="s">
        <v>206</v>
      </c>
      <c r="L29" s="13" t="s">
        <v>206</v>
      </c>
      <c r="M29" s="13" t="s">
        <v>206</v>
      </c>
    </row>
    <row r="30" spans="1:13" ht="17" thickBo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27" thickBot="1" x14ac:dyDescent="0.35">
      <c r="A31" s="1" t="s">
        <v>26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3">
        <v>12</v>
      </c>
    </row>
    <row r="32" spans="1:13" ht="26" x14ac:dyDescent="0.3">
      <c r="A32" s="4" t="s">
        <v>5</v>
      </c>
      <c r="B32" s="1" t="s">
        <v>13</v>
      </c>
      <c r="C32" s="7" t="s">
        <v>13</v>
      </c>
      <c r="D32" s="7" t="s">
        <v>13</v>
      </c>
      <c r="E32" s="7" t="s">
        <v>21</v>
      </c>
      <c r="F32" s="7" t="s">
        <v>21</v>
      </c>
      <c r="G32" s="7" t="s">
        <v>21</v>
      </c>
      <c r="H32" s="7" t="s">
        <v>213</v>
      </c>
      <c r="I32" s="7" t="s">
        <v>213</v>
      </c>
      <c r="J32" s="7" t="s">
        <v>213</v>
      </c>
      <c r="K32" s="7" t="s">
        <v>221</v>
      </c>
      <c r="L32" s="7" t="s">
        <v>221</v>
      </c>
      <c r="M32" s="7" t="s">
        <v>221</v>
      </c>
    </row>
    <row r="33" spans="1:13" ht="26" x14ac:dyDescent="0.3">
      <c r="A33" s="4" t="s">
        <v>6</v>
      </c>
      <c r="B33" s="9" t="s">
        <v>14</v>
      </c>
      <c r="C33" s="10" t="s">
        <v>14</v>
      </c>
      <c r="D33" s="10" t="s">
        <v>14</v>
      </c>
      <c r="E33" s="10" t="s">
        <v>22</v>
      </c>
      <c r="F33" s="10" t="s">
        <v>22</v>
      </c>
      <c r="G33" s="10" t="s">
        <v>22</v>
      </c>
      <c r="H33" s="10" t="s">
        <v>214</v>
      </c>
      <c r="I33" s="10" t="s">
        <v>214</v>
      </c>
      <c r="J33" s="10" t="s">
        <v>214</v>
      </c>
      <c r="K33" s="10" t="s">
        <v>222</v>
      </c>
      <c r="L33" s="10" t="s">
        <v>222</v>
      </c>
      <c r="M33" s="10" t="s">
        <v>222</v>
      </c>
    </row>
    <row r="34" spans="1:13" ht="26" x14ac:dyDescent="0.3">
      <c r="A34" s="4" t="s">
        <v>7</v>
      </c>
      <c r="B34" s="9" t="s">
        <v>15</v>
      </c>
      <c r="C34" s="10" t="s">
        <v>15</v>
      </c>
      <c r="D34" s="10" t="s">
        <v>15</v>
      </c>
      <c r="E34" s="10" t="s">
        <v>207</v>
      </c>
      <c r="F34" s="10" t="s">
        <v>207</v>
      </c>
      <c r="G34" s="10" t="s">
        <v>207</v>
      </c>
      <c r="H34" s="10" t="s">
        <v>215</v>
      </c>
      <c r="I34" s="10" t="s">
        <v>215</v>
      </c>
      <c r="J34" s="10" t="s">
        <v>215</v>
      </c>
      <c r="K34" s="10" t="s">
        <v>230</v>
      </c>
      <c r="L34" s="10" t="s">
        <v>230</v>
      </c>
      <c r="M34" s="10" t="s">
        <v>230</v>
      </c>
    </row>
    <row r="35" spans="1:13" ht="26" x14ac:dyDescent="0.3">
      <c r="A35" s="4" t="s">
        <v>8</v>
      </c>
      <c r="B35" s="9" t="s">
        <v>16</v>
      </c>
      <c r="C35" s="10" t="s">
        <v>16</v>
      </c>
      <c r="D35" s="10" t="s">
        <v>16</v>
      </c>
      <c r="E35" s="9" t="s">
        <v>208</v>
      </c>
      <c r="F35" s="9" t="s">
        <v>208</v>
      </c>
      <c r="G35" s="9" t="s">
        <v>208</v>
      </c>
      <c r="H35" s="10" t="s">
        <v>216</v>
      </c>
      <c r="I35" s="10" t="s">
        <v>216</v>
      </c>
      <c r="J35" s="10" t="s">
        <v>216</v>
      </c>
      <c r="K35" s="10" t="s">
        <v>231</v>
      </c>
      <c r="L35" s="10" t="s">
        <v>231</v>
      </c>
      <c r="M35" s="10" t="s">
        <v>231</v>
      </c>
    </row>
    <row r="36" spans="1:13" ht="26" x14ac:dyDescent="0.3">
      <c r="A36" s="4" t="s">
        <v>9</v>
      </c>
      <c r="B36" s="9" t="s">
        <v>17</v>
      </c>
      <c r="C36" s="10" t="s">
        <v>17</v>
      </c>
      <c r="D36" s="10" t="s">
        <v>17</v>
      </c>
      <c r="E36" s="9" t="s">
        <v>209</v>
      </c>
      <c r="F36" s="9" t="s">
        <v>209</v>
      </c>
      <c r="G36" s="9" t="s">
        <v>209</v>
      </c>
      <c r="H36" s="10" t="s">
        <v>217</v>
      </c>
      <c r="I36" s="10" t="s">
        <v>217</v>
      </c>
      <c r="J36" s="10" t="s">
        <v>217</v>
      </c>
      <c r="K36" s="10" t="s">
        <v>232</v>
      </c>
      <c r="L36" s="10" t="s">
        <v>232</v>
      </c>
      <c r="M36" s="10" t="s">
        <v>232</v>
      </c>
    </row>
    <row r="37" spans="1:13" ht="26" x14ac:dyDescent="0.3">
      <c r="A37" s="4" t="s">
        <v>10</v>
      </c>
      <c r="B37" s="9" t="s">
        <v>18</v>
      </c>
      <c r="C37" s="10" t="s">
        <v>18</v>
      </c>
      <c r="D37" s="10" t="s">
        <v>18</v>
      </c>
      <c r="E37" s="9" t="s">
        <v>210</v>
      </c>
      <c r="F37" s="9" t="s">
        <v>210</v>
      </c>
      <c r="G37" s="9" t="s">
        <v>210</v>
      </c>
      <c r="H37" s="10" t="s">
        <v>218</v>
      </c>
      <c r="I37" s="10" t="s">
        <v>218</v>
      </c>
      <c r="J37" s="10" t="s">
        <v>218</v>
      </c>
      <c r="K37" s="10" t="s">
        <v>233</v>
      </c>
      <c r="L37" s="10" t="s">
        <v>233</v>
      </c>
      <c r="M37" s="10" t="s">
        <v>233</v>
      </c>
    </row>
    <row r="38" spans="1:13" ht="26" x14ac:dyDescent="0.3">
      <c r="A38" s="4" t="s">
        <v>11</v>
      </c>
      <c r="B38" s="9" t="s">
        <v>19</v>
      </c>
      <c r="C38" s="10" t="s">
        <v>19</v>
      </c>
      <c r="D38" s="10" t="s">
        <v>19</v>
      </c>
      <c r="E38" s="9" t="s">
        <v>211</v>
      </c>
      <c r="F38" s="9" t="s">
        <v>211</v>
      </c>
      <c r="G38" s="9" t="s">
        <v>211</v>
      </c>
      <c r="H38" s="10" t="s">
        <v>219</v>
      </c>
      <c r="I38" s="10" t="s">
        <v>219</v>
      </c>
      <c r="J38" s="10" t="s">
        <v>219</v>
      </c>
      <c r="K38" s="10" t="s">
        <v>234</v>
      </c>
      <c r="L38" s="10" t="s">
        <v>234</v>
      </c>
      <c r="M38" s="10" t="s">
        <v>234</v>
      </c>
    </row>
    <row r="39" spans="1:13" ht="27" thickBot="1" x14ac:dyDescent="0.35">
      <c r="A39" s="5" t="s">
        <v>12</v>
      </c>
      <c r="B39" s="12" t="s">
        <v>20</v>
      </c>
      <c r="C39" s="13" t="s">
        <v>20</v>
      </c>
      <c r="D39" s="13" t="s">
        <v>20</v>
      </c>
      <c r="E39" s="12" t="s">
        <v>212</v>
      </c>
      <c r="F39" s="12" t="s">
        <v>212</v>
      </c>
      <c r="G39" s="12" t="s">
        <v>212</v>
      </c>
      <c r="H39" s="13" t="s">
        <v>220</v>
      </c>
      <c r="I39" s="13" t="s">
        <v>220</v>
      </c>
      <c r="J39" s="13" t="s">
        <v>220</v>
      </c>
      <c r="K39" s="13" t="s">
        <v>235</v>
      </c>
      <c r="L39" s="13" t="s">
        <v>235</v>
      </c>
      <c r="M39" s="13" t="s">
        <v>235</v>
      </c>
    </row>
    <row r="40" spans="1:1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</sheetData>
  <phoneticPr fontId="1" type="noConversion"/>
  <pageMargins left="0.7" right="0.7" top="0.75" bottom="0.75" header="0.3" footer="0.3"/>
  <pageSetup scale="41" fitToHeight="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B18C-1C9A-6140-B8ED-AB2E991E8C6B}">
  <dimension ref="A1:B8"/>
  <sheetViews>
    <sheetView workbookViewId="0">
      <selection activeCell="B8" sqref="B8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119</v>
      </c>
      <c r="B1" s="17">
        <v>96</v>
      </c>
    </row>
    <row r="2" spans="1:2" x14ac:dyDescent="0.2">
      <c r="A2" t="s">
        <v>120</v>
      </c>
      <c r="B2">
        <f>B1*10</f>
        <v>960</v>
      </c>
    </row>
    <row r="3" spans="1:2" x14ac:dyDescent="0.2">
      <c r="A3" t="s">
        <v>121</v>
      </c>
      <c r="B3">
        <f>B2/10</f>
        <v>96</v>
      </c>
    </row>
    <row r="4" spans="1:2" x14ac:dyDescent="0.2">
      <c r="A4" t="s">
        <v>122</v>
      </c>
      <c r="B4">
        <f>B2+(B3*2)</f>
        <v>1152</v>
      </c>
    </row>
    <row r="5" spans="1:2" x14ac:dyDescent="0.2">
      <c r="A5" t="s">
        <v>123</v>
      </c>
      <c r="B5">
        <f>B4/8</f>
        <v>144</v>
      </c>
    </row>
    <row r="6" spans="1:2" x14ac:dyDescent="0.2">
      <c r="A6" t="s">
        <v>124</v>
      </c>
      <c r="B6">
        <v>12</v>
      </c>
    </row>
    <row r="8" spans="1:2" x14ac:dyDescent="0.2">
      <c r="A8" t="s">
        <v>125</v>
      </c>
      <c r="B8">
        <f>B3/10</f>
        <v>9.6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B4EF-73F1-1A48-AF23-6242AA70D127}">
  <dimension ref="A1:M41"/>
  <sheetViews>
    <sheetView workbookViewId="0">
      <selection sqref="A1:M9"/>
    </sheetView>
  </sheetViews>
  <sheetFormatPr baseColWidth="10" defaultRowHeight="16" x14ac:dyDescent="0.2"/>
  <cols>
    <col min="1" max="4" width="14.83203125" customWidth="1"/>
    <col min="5" max="7" width="23.6640625" bestFit="1" customWidth="1"/>
    <col min="8" max="13" width="24.6640625" bestFit="1" customWidth="1"/>
  </cols>
  <sheetData>
    <row r="1" spans="1:13" ht="27" thickBot="1" x14ac:dyDescent="0.35">
      <c r="A1" s="1" t="s">
        <v>23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26" x14ac:dyDescent="0.3">
      <c r="A2" s="4" t="s">
        <v>5</v>
      </c>
      <c r="B2" s="1" t="s">
        <v>14</v>
      </c>
      <c r="C2" s="7" t="s">
        <v>14</v>
      </c>
      <c r="D2" s="7" t="s">
        <v>14</v>
      </c>
      <c r="E2" s="7" t="s">
        <v>21</v>
      </c>
      <c r="F2" s="7" t="s">
        <v>21</v>
      </c>
      <c r="G2" s="7" t="s">
        <v>21</v>
      </c>
      <c r="H2" s="7" t="s">
        <v>144</v>
      </c>
      <c r="I2" s="7" t="s">
        <v>144</v>
      </c>
      <c r="J2" s="7" t="s">
        <v>144</v>
      </c>
      <c r="K2" s="7" t="s">
        <v>154</v>
      </c>
      <c r="L2" s="7" t="s">
        <v>154</v>
      </c>
      <c r="M2" s="7" t="s">
        <v>154</v>
      </c>
    </row>
    <row r="3" spans="1:13" ht="26" x14ac:dyDescent="0.3">
      <c r="A3" s="4" t="s">
        <v>6</v>
      </c>
      <c r="B3" s="9" t="s">
        <v>15</v>
      </c>
      <c r="C3" s="10" t="s">
        <v>15</v>
      </c>
      <c r="D3" s="10" t="s">
        <v>15</v>
      </c>
      <c r="E3" s="10" t="s">
        <v>22</v>
      </c>
      <c r="F3" s="10" t="s">
        <v>22</v>
      </c>
      <c r="G3" s="10" t="s">
        <v>22</v>
      </c>
      <c r="H3" s="10" t="s">
        <v>145</v>
      </c>
      <c r="I3" s="10" t="s">
        <v>145</v>
      </c>
      <c r="J3" s="10" t="s">
        <v>145</v>
      </c>
      <c r="K3" s="10" t="s">
        <v>155</v>
      </c>
      <c r="L3" s="10" t="s">
        <v>155</v>
      </c>
      <c r="M3" s="10" t="s">
        <v>155</v>
      </c>
    </row>
    <row r="4" spans="1:13" ht="26" x14ac:dyDescent="0.3">
      <c r="A4" s="4" t="s">
        <v>7</v>
      </c>
      <c r="B4" s="9" t="s">
        <v>16</v>
      </c>
      <c r="C4" s="10" t="s">
        <v>16</v>
      </c>
      <c r="D4" s="10" t="s">
        <v>16</v>
      </c>
      <c r="E4" s="10" t="s">
        <v>141</v>
      </c>
      <c r="F4" s="10" t="s">
        <v>141</v>
      </c>
      <c r="G4" s="10" t="s">
        <v>141</v>
      </c>
      <c r="H4" s="10" t="s">
        <v>147</v>
      </c>
      <c r="I4" s="10" t="s">
        <v>147</v>
      </c>
      <c r="J4" s="10" t="s">
        <v>147</v>
      </c>
      <c r="K4" s="10" t="s">
        <v>156</v>
      </c>
      <c r="L4" s="10" t="s">
        <v>156</v>
      </c>
      <c r="M4" s="10" t="s">
        <v>156</v>
      </c>
    </row>
    <row r="5" spans="1:13" ht="26" x14ac:dyDescent="0.3">
      <c r="A5" s="4" t="s">
        <v>8</v>
      </c>
      <c r="B5" s="9" t="s">
        <v>17</v>
      </c>
      <c r="C5" s="10" t="s">
        <v>17</v>
      </c>
      <c r="D5" s="10" t="s">
        <v>17</v>
      </c>
      <c r="E5" s="9" t="s">
        <v>142</v>
      </c>
      <c r="F5" s="9" t="s">
        <v>142</v>
      </c>
      <c r="G5" s="9" t="s">
        <v>142</v>
      </c>
      <c r="H5" s="10" t="s">
        <v>148</v>
      </c>
      <c r="I5" s="10" t="s">
        <v>148</v>
      </c>
      <c r="J5" s="10" t="s">
        <v>148</v>
      </c>
      <c r="K5" s="10" t="s">
        <v>157</v>
      </c>
      <c r="L5" s="10" t="s">
        <v>157</v>
      </c>
      <c r="M5" s="10" t="s">
        <v>157</v>
      </c>
    </row>
    <row r="6" spans="1:13" ht="26" x14ac:dyDescent="0.3">
      <c r="A6" s="4" t="s">
        <v>9</v>
      </c>
      <c r="B6" s="9" t="s">
        <v>18</v>
      </c>
      <c r="C6" s="10" t="s">
        <v>18</v>
      </c>
      <c r="D6" s="10" t="s">
        <v>18</v>
      </c>
      <c r="E6" s="9" t="s">
        <v>143</v>
      </c>
      <c r="F6" s="9" t="s">
        <v>143</v>
      </c>
      <c r="G6" s="9" t="s">
        <v>143</v>
      </c>
      <c r="H6" s="10" t="s">
        <v>149</v>
      </c>
      <c r="I6" s="10" t="s">
        <v>149</v>
      </c>
      <c r="J6" s="10" t="s">
        <v>149</v>
      </c>
      <c r="K6" s="10" t="s">
        <v>158</v>
      </c>
      <c r="L6" s="10" t="s">
        <v>158</v>
      </c>
      <c r="M6" s="10" t="s">
        <v>158</v>
      </c>
    </row>
    <row r="7" spans="1:13" ht="26" x14ac:dyDescent="0.3">
      <c r="A7" s="4" t="s">
        <v>10</v>
      </c>
      <c r="B7" s="9" t="s">
        <v>236</v>
      </c>
      <c r="C7" s="9" t="s">
        <v>236</v>
      </c>
      <c r="D7" s="9" t="s">
        <v>236</v>
      </c>
      <c r="E7" s="9" t="s">
        <v>137</v>
      </c>
      <c r="F7" s="9" t="s">
        <v>137</v>
      </c>
      <c r="G7" s="9" t="s">
        <v>137</v>
      </c>
      <c r="H7" s="10" t="s">
        <v>150</v>
      </c>
      <c r="I7" s="10" t="s">
        <v>150</v>
      </c>
      <c r="J7" s="10" t="s">
        <v>150</v>
      </c>
      <c r="K7" s="10" t="s">
        <v>159</v>
      </c>
      <c r="L7" s="10" t="s">
        <v>159</v>
      </c>
      <c r="M7" s="10" t="s">
        <v>159</v>
      </c>
    </row>
    <row r="8" spans="1:13" ht="26" x14ac:dyDescent="0.3">
      <c r="A8" s="4" t="s">
        <v>11</v>
      </c>
      <c r="B8" s="9" t="s">
        <v>27</v>
      </c>
      <c r="C8" s="10" t="s">
        <v>27</v>
      </c>
      <c r="D8" s="10" t="s">
        <v>27</v>
      </c>
      <c r="E8" s="9" t="s">
        <v>138</v>
      </c>
      <c r="F8" s="9" t="s">
        <v>138</v>
      </c>
      <c r="G8" s="9" t="s">
        <v>138</v>
      </c>
      <c r="H8" s="10" t="s">
        <v>151</v>
      </c>
      <c r="I8" s="10" t="s">
        <v>151</v>
      </c>
      <c r="J8" s="10" t="s">
        <v>151</v>
      </c>
      <c r="K8" s="10" t="s">
        <v>160</v>
      </c>
      <c r="L8" s="10" t="s">
        <v>160</v>
      </c>
      <c r="M8" s="10" t="s">
        <v>160</v>
      </c>
    </row>
    <row r="9" spans="1:13" ht="27" thickBot="1" x14ac:dyDescent="0.35">
      <c r="A9" s="5" t="s">
        <v>12</v>
      </c>
      <c r="B9" s="12" t="s">
        <v>20</v>
      </c>
      <c r="C9" s="13" t="s">
        <v>20</v>
      </c>
      <c r="D9" s="13" t="s">
        <v>20</v>
      </c>
      <c r="E9" s="12" t="s">
        <v>139</v>
      </c>
      <c r="F9" s="12" t="s">
        <v>139</v>
      </c>
      <c r="G9" s="12" t="s">
        <v>139</v>
      </c>
      <c r="H9" s="13" t="s">
        <v>153</v>
      </c>
      <c r="I9" s="13" t="s">
        <v>153</v>
      </c>
      <c r="J9" s="13" t="s">
        <v>153</v>
      </c>
      <c r="K9" s="13" t="s">
        <v>161</v>
      </c>
      <c r="L9" s="13" t="s">
        <v>161</v>
      </c>
      <c r="M9" s="13" t="s">
        <v>161</v>
      </c>
    </row>
    <row r="10" spans="1:13" ht="17" thickBo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7" thickBot="1" x14ac:dyDescent="0.35">
      <c r="A11" s="1" t="s">
        <v>24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3">
        <v>12</v>
      </c>
    </row>
    <row r="12" spans="1:13" ht="26" x14ac:dyDescent="0.3">
      <c r="A12" s="4" t="s">
        <v>5</v>
      </c>
      <c r="B12" s="1" t="s">
        <v>14</v>
      </c>
      <c r="C12" s="7" t="s">
        <v>14</v>
      </c>
      <c r="D12" s="7" t="s">
        <v>14</v>
      </c>
      <c r="E12" s="7" t="s">
        <v>21</v>
      </c>
      <c r="F12" s="7" t="s">
        <v>21</v>
      </c>
      <c r="G12" s="7" t="s">
        <v>21</v>
      </c>
      <c r="H12" s="7" t="s">
        <v>168</v>
      </c>
      <c r="I12" s="7" t="s">
        <v>168</v>
      </c>
      <c r="J12" s="7" t="s">
        <v>168</v>
      </c>
      <c r="K12" s="7" t="s">
        <v>176</v>
      </c>
      <c r="L12" s="7" t="s">
        <v>176</v>
      </c>
      <c r="M12" s="7" t="s">
        <v>176</v>
      </c>
    </row>
    <row r="13" spans="1:13" ht="26" x14ac:dyDescent="0.3">
      <c r="A13" s="4" t="s">
        <v>6</v>
      </c>
      <c r="B13" s="9" t="s">
        <v>15</v>
      </c>
      <c r="C13" s="10" t="s">
        <v>15</v>
      </c>
      <c r="D13" s="10" t="s">
        <v>15</v>
      </c>
      <c r="E13" s="10" t="s">
        <v>22</v>
      </c>
      <c r="F13" s="10" t="s">
        <v>22</v>
      </c>
      <c r="G13" s="10" t="s">
        <v>22</v>
      </c>
      <c r="H13" s="10" t="s">
        <v>169</v>
      </c>
      <c r="I13" s="10" t="s">
        <v>169</v>
      </c>
      <c r="J13" s="10" t="s">
        <v>169</v>
      </c>
      <c r="K13" s="10" t="s">
        <v>177</v>
      </c>
      <c r="L13" s="10" t="s">
        <v>177</v>
      </c>
      <c r="M13" s="10" t="s">
        <v>177</v>
      </c>
    </row>
    <row r="14" spans="1:13" ht="26" x14ac:dyDescent="0.3">
      <c r="A14" s="4" t="s">
        <v>7</v>
      </c>
      <c r="B14" s="9" t="s">
        <v>16</v>
      </c>
      <c r="C14" s="10" t="s">
        <v>16</v>
      </c>
      <c r="D14" s="10" t="s">
        <v>16</v>
      </c>
      <c r="E14" s="10" t="s">
        <v>162</v>
      </c>
      <c r="F14" s="10" t="s">
        <v>162</v>
      </c>
      <c r="G14" s="10" t="s">
        <v>162</v>
      </c>
      <c r="H14" s="10" t="s">
        <v>170</v>
      </c>
      <c r="I14" s="10" t="s">
        <v>170</v>
      </c>
      <c r="J14" s="10" t="s">
        <v>170</v>
      </c>
      <c r="K14" s="10" t="s">
        <v>178</v>
      </c>
      <c r="L14" s="10" t="s">
        <v>178</v>
      </c>
      <c r="M14" s="10" t="s">
        <v>178</v>
      </c>
    </row>
    <row r="15" spans="1:13" ht="26" x14ac:dyDescent="0.3">
      <c r="A15" s="4" t="s">
        <v>8</v>
      </c>
      <c r="B15" s="9" t="s">
        <v>17</v>
      </c>
      <c r="C15" s="10" t="s">
        <v>17</v>
      </c>
      <c r="D15" s="10" t="s">
        <v>17</v>
      </c>
      <c r="E15" s="9" t="s">
        <v>163</v>
      </c>
      <c r="F15" s="9" t="s">
        <v>163</v>
      </c>
      <c r="G15" s="9" t="s">
        <v>163</v>
      </c>
      <c r="H15" s="10" t="s">
        <v>171</v>
      </c>
      <c r="I15" s="10" t="s">
        <v>171</v>
      </c>
      <c r="J15" s="10" t="s">
        <v>171</v>
      </c>
      <c r="K15" s="10" t="s">
        <v>179</v>
      </c>
      <c r="L15" s="10" t="s">
        <v>179</v>
      </c>
      <c r="M15" s="10" t="s">
        <v>179</v>
      </c>
    </row>
    <row r="16" spans="1:13" ht="26" x14ac:dyDescent="0.3">
      <c r="A16" s="4" t="s">
        <v>9</v>
      </c>
      <c r="B16" s="9" t="s">
        <v>18</v>
      </c>
      <c r="C16" s="10" t="s">
        <v>18</v>
      </c>
      <c r="D16" s="10" t="s">
        <v>18</v>
      </c>
      <c r="E16" s="9" t="s">
        <v>164</v>
      </c>
      <c r="F16" s="9" t="s">
        <v>164</v>
      </c>
      <c r="G16" s="9" t="s">
        <v>164</v>
      </c>
      <c r="H16" s="10" t="s">
        <v>172</v>
      </c>
      <c r="I16" s="10" t="s">
        <v>172</v>
      </c>
      <c r="J16" s="10" t="s">
        <v>172</v>
      </c>
      <c r="K16" s="10" t="s">
        <v>180</v>
      </c>
      <c r="L16" s="10" t="s">
        <v>180</v>
      </c>
      <c r="M16" s="10" t="s">
        <v>180</v>
      </c>
    </row>
    <row r="17" spans="1:13" ht="26" x14ac:dyDescent="0.3">
      <c r="A17" s="4" t="s">
        <v>10</v>
      </c>
      <c r="B17" s="9" t="s">
        <v>236</v>
      </c>
      <c r="C17" s="10" t="s">
        <v>236</v>
      </c>
      <c r="D17" s="10" t="s">
        <v>236</v>
      </c>
      <c r="E17" s="9" t="s">
        <v>165</v>
      </c>
      <c r="F17" s="9" t="s">
        <v>165</v>
      </c>
      <c r="G17" s="9" t="s">
        <v>165</v>
      </c>
      <c r="H17" s="10" t="s">
        <v>173</v>
      </c>
      <c r="I17" s="10" t="s">
        <v>173</v>
      </c>
      <c r="J17" s="10" t="s">
        <v>173</v>
      </c>
      <c r="K17" s="10" t="s">
        <v>181</v>
      </c>
      <c r="L17" s="10" t="s">
        <v>181</v>
      </c>
      <c r="M17" s="10" t="s">
        <v>181</v>
      </c>
    </row>
    <row r="18" spans="1:13" ht="26" x14ac:dyDescent="0.3">
      <c r="A18" s="4" t="s">
        <v>11</v>
      </c>
      <c r="B18" s="9" t="s">
        <v>27</v>
      </c>
      <c r="C18" s="10" t="s">
        <v>27</v>
      </c>
      <c r="D18" s="10" t="s">
        <v>27</v>
      </c>
      <c r="E18" s="9" t="s">
        <v>166</v>
      </c>
      <c r="F18" s="9" t="s">
        <v>166</v>
      </c>
      <c r="G18" s="9" t="s">
        <v>166</v>
      </c>
      <c r="H18" s="10" t="s">
        <v>174</v>
      </c>
      <c r="I18" s="10" t="s">
        <v>174</v>
      </c>
      <c r="J18" s="10" t="s">
        <v>174</v>
      </c>
      <c r="K18" s="10" t="s">
        <v>182</v>
      </c>
      <c r="L18" s="10" t="s">
        <v>182</v>
      </c>
      <c r="M18" s="10" t="s">
        <v>182</v>
      </c>
    </row>
    <row r="19" spans="1:13" ht="27" thickBot="1" x14ac:dyDescent="0.35">
      <c r="A19" s="5" t="s">
        <v>12</v>
      </c>
      <c r="B19" s="12" t="s">
        <v>20</v>
      </c>
      <c r="C19" s="13" t="s">
        <v>20</v>
      </c>
      <c r="D19" s="13" t="s">
        <v>20</v>
      </c>
      <c r="E19" s="12" t="s">
        <v>167</v>
      </c>
      <c r="F19" s="12" t="s">
        <v>167</v>
      </c>
      <c r="G19" s="12" t="s">
        <v>167</v>
      </c>
      <c r="H19" s="13" t="s">
        <v>175</v>
      </c>
      <c r="I19" s="13" t="s">
        <v>175</v>
      </c>
      <c r="J19" s="13" t="s">
        <v>175</v>
      </c>
      <c r="K19" s="13" t="s">
        <v>184</v>
      </c>
      <c r="L19" s="13" t="s">
        <v>184</v>
      </c>
      <c r="M19" s="13" t="s">
        <v>184</v>
      </c>
    </row>
    <row r="20" spans="1:13" ht="17" thickBo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7" thickBot="1" x14ac:dyDescent="0.35">
      <c r="A21" s="1" t="s">
        <v>25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3">
        <v>12</v>
      </c>
    </row>
    <row r="22" spans="1:13" ht="26" x14ac:dyDescent="0.3">
      <c r="A22" s="4" t="s">
        <v>5</v>
      </c>
      <c r="B22" s="1" t="s">
        <v>14</v>
      </c>
      <c r="C22" s="7" t="s">
        <v>14</v>
      </c>
      <c r="D22" s="7" t="s">
        <v>14</v>
      </c>
      <c r="E22" s="7" t="s">
        <v>21</v>
      </c>
      <c r="F22" s="7" t="s">
        <v>21</v>
      </c>
      <c r="G22" s="7" t="s">
        <v>21</v>
      </c>
      <c r="H22" s="7" t="s">
        <v>191</v>
      </c>
      <c r="I22" s="7" t="s">
        <v>191</v>
      </c>
      <c r="J22" s="7" t="s">
        <v>191</v>
      </c>
      <c r="K22" s="7" t="s">
        <v>199</v>
      </c>
      <c r="L22" s="7" t="s">
        <v>199</v>
      </c>
      <c r="M22" s="7" t="s">
        <v>199</v>
      </c>
    </row>
    <row r="23" spans="1:13" ht="26" x14ac:dyDescent="0.3">
      <c r="A23" s="4" t="s">
        <v>6</v>
      </c>
      <c r="B23" s="9" t="s">
        <v>15</v>
      </c>
      <c r="C23" s="10" t="s">
        <v>15</v>
      </c>
      <c r="D23" s="10" t="s">
        <v>15</v>
      </c>
      <c r="E23" s="10" t="s">
        <v>22</v>
      </c>
      <c r="F23" s="10" t="s">
        <v>22</v>
      </c>
      <c r="G23" s="10" t="s">
        <v>22</v>
      </c>
      <c r="H23" s="10" t="s">
        <v>192</v>
      </c>
      <c r="I23" s="10" t="s">
        <v>192</v>
      </c>
      <c r="J23" s="10" t="s">
        <v>192</v>
      </c>
      <c r="K23" s="10" t="s">
        <v>200</v>
      </c>
      <c r="L23" s="10" t="s">
        <v>200</v>
      </c>
      <c r="M23" s="10" t="s">
        <v>200</v>
      </c>
    </row>
    <row r="24" spans="1:13" ht="26" x14ac:dyDescent="0.3">
      <c r="A24" s="4" t="s">
        <v>7</v>
      </c>
      <c r="B24" s="9" t="s">
        <v>16</v>
      </c>
      <c r="C24" s="10" t="s">
        <v>16</v>
      </c>
      <c r="D24" s="10" t="s">
        <v>16</v>
      </c>
      <c r="E24" s="10" t="s">
        <v>185</v>
      </c>
      <c r="F24" s="10" t="s">
        <v>185</v>
      </c>
      <c r="G24" s="10" t="s">
        <v>185</v>
      </c>
      <c r="H24" s="10" t="s">
        <v>193</v>
      </c>
      <c r="I24" s="10" t="s">
        <v>193</v>
      </c>
      <c r="J24" s="10" t="s">
        <v>193</v>
      </c>
      <c r="K24" s="10" t="s">
        <v>201</v>
      </c>
      <c r="L24" s="10" t="s">
        <v>201</v>
      </c>
      <c r="M24" s="10" t="s">
        <v>201</v>
      </c>
    </row>
    <row r="25" spans="1:13" ht="26" x14ac:dyDescent="0.3">
      <c r="A25" s="4" t="s">
        <v>8</v>
      </c>
      <c r="B25" s="9" t="s">
        <v>17</v>
      </c>
      <c r="C25" s="10" t="s">
        <v>17</v>
      </c>
      <c r="D25" s="10" t="s">
        <v>17</v>
      </c>
      <c r="E25" s="9" t="s">
        <v>186</v>
      </c>
      <c r="F25" s="9" t="s">
        <v>186</v>
      </c>
      <c r="G25" s="9" t="s">
        <v>186</v>
      </c>
      <c r="H25" s="10" t="s">
        <v>194</v>
      </c>
      <c r="I25" s="10" t="s">
        <v>194</v>
      </c>
      <c r="J25" s="10" t="s">
        <v>194</v>
      </c>
      <c r="K25" s="10" t="s">
        <v>202</v>
      </c>
      <c r="L25" s="10" t="s">
        <v>202</v>
      </c>
      <c r="M25" s="10" t="s">
        <v>202</v>
      </c>
    </row>
    <row r="26" spans="1:13" ht="26" x14ac:dyDescent="0.3">
      <c r="A26" s="4" t="s">
        <v>9</v>
      </c>
      <c r="B26" s="9" t="s">
        <v>18</v>
      </c>
      <c r="C26" s="10" t="s">
        <v>18</v>
      </c>
      <c r="D26" s="10" t="s">
        <v>18</v>
      </c>
      <c r="E26" s="9" t="s">
        <v>187</v>
      </c>
      <c r="F26" s="9" t="s">
        <v>187</v>
      </c>
      <c r="G26" s="9" t="s">
        <v>187</v>
      </c>
      <c r="H26" s="10" t="s">
        <v>195</v>
      </c>
      <c r="I26" s="10" t="s">
        <v>195</v>
      </c>
      <c r="J26" s="10" t="s">
        <v>195</v>
      </c>
      <c r="K26" s="10" t="s">
        <v>203</v>
      </c>
      <c r="L26" s="10" t="s">
        <v>203</v>
      </c>
      <c r="M26" s="10" t="s">
        <v>203</v>
      </c>
    </row>
    <row r="27" spans="1:13" ht="26" x14ac:dyDescent="0.3">
      <c r="A27" s="4" t="s">
        <v>10</v>
      </c>
      <c r="B27" s="9" t="s">
        <v>236</v>
      </c>
      <c r="C27" s="10" t="s">
        <v>236</v>
      </c>
      <c r="D27" s="10" t="s">
        <v>236</v>
      </c>
      <c r="E27" s="9" t="s">
        <v>188</v>
      </c>
      <c r="F27" s="9" t="s">
        <v>188</v>
      </c>
      <c r="G27" s="9" t="s">
        <v>188</v>
      </c>
      <c r="H27" s="10" t="s">
        <v>196</v>
      </c>
      <c r="I27" s="10" t="s">
        <v>196</v>
      </c>
      <c r="J27" s="10" t="s">
        <v>196</v>
      </c>
      <c r="K27" s="10" t="s">
        <v>204</v>
      </c>
      <c r="L27" s="10" t="s">
        <v>204</v>
      </c>
      <c r="M27" s="10" t="s">
        <v>204</v>
      </c>
    </row>
    <row r="28" spans="1:13" ht="26" x14ac:dyDescent="0.3">
      <c r="A28" s="4" t="s">
        <v>11</v>
      </c>
      <c r="B28" s="9" t="s">
        <v>27</v>
      </c>
      <c r="C28" s="10" t="s">
        <v>27</v>
      </c>
      <c r="D28" s="10" t="s">
        <v>27</v>
      </c>
      <c r="E28" s="9" t="s">
        <v>189</v>
      </c>
      <c r="F28" s="9" t="s">
        <v>189</v>
      </c>
      <c r="G28" s="9" t="s">
        <v>189</v>
      </c>
      <c r="H28" s="10" t="s">
        <v>197</v>
      </c>
      <c r="I28" s="10" t="s">
        <v>197</v>
      </c>
      <c r="J28" s="10" t="s">
        <v>197</v>
      </c>
      <c r="K28" s="10" t="s">
        <v>205</v>
      </c>
      <c r="L28" s="10" t="s">
        <v>205</v>
      </c>
      <c r="M28" s="10" t="s">
        <v>205</v>
      </c>
    </row>
    <row r="29" spans="1:13" ht="27" thickBot="1" x14ac:dyDescent="0.35">
      <c r="A29" s="5" t="s">
        <v>12</v>
      </c>
      <c r="B29" s="12" t="s">
        <v>20</v>
      </c>
      <c r="C29" s="13" t="s">
        <v>20</v>
      </c>
      <c r="D29" s="13" t="s">
        <v>20</v>
      </c>
      <c r="E29" s="12" t="s">
        <v>190</v>
      </c>
      <c r="F29" s="12" t="s">
        <v>190</v>
      </c>
      <c r="G29" s="12" t="s">
        <v>190</v>
      </c>
      <c r="H29" s="13" t="s">
        <v>198</v>
      </c>
      <c r="I29" s="13" t="s">
        <v>198</v>
      </c>
      <c r="J29" s="13" t="s">
        <v>198</v>
      </c>
      <c r="K29" s="13" t="s">
        <v>206</v>
      </c>
      <c r="L29" s="13" t="s">
        <v>206</v>
      </c>
      <c r="M29" s="13" t="s">
        <v>206</v>
      </c>
    </row>
    <row r="30" spans="1:13" ht="17" thickBo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27" thickBot="1" x14ac:dyDescent="0.35">
      <c r="A31" s="1" t="s">
        <v>26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3">
        <v>12</v>
      </c>
    </row>
    <row r="32" spans="1:13" ht="26" x14ac:dyDescent="0.3">
      <c r="A32" s="4" t="s">
        <v>5</v>
      </c>
      <c r="B32" s="1" t="s">
        <v>14</v>
      </c>
      <c r="C32" s="7" t="s">
        <v>14</v>
      </c>
      <c r="D32" s="7" t="s">
        <v>14</v>
      </c>
      <c r="E32" s="7" t="s">
        <v>21</v>
      </c>
      <c r="F32" s="7" t="s">
        <v>21</v>
      </c>
      <c r="G32" s="7" t="s">
        <v>21</v>
      </c>
      <c r="H32" s="7" t="s">
        <v>213</v>
      </c>
      <c r="I32" s="7" t="s">
        <v>213</v>
      </c>
      <c r="J32" s="7" t="s">
        <v>213</v>
      </c>
      <c r="K32" s="7" t="s">
        <v>221</v>
      </c>
      <c r="L32" s="7" t="s">
        <v>221</v>
      </c>
      <c r="M32" s="7" t="s">
        <v>221</v>
      </c>
    </row>
    <row r="33" spans="1:13" ht="26" x14ac:dyDescent="0.3">
      <c r="A33" s="4" t="s">
        <v>6</v>
      </c>
      <c r="B33" s="9" t="s">
        <v>15</v>
      </c>
      <c r="C33" s="10" t="s">
        <v>15</v>
      </c>
      <c r="D33" s="10" t="s">
        <v>15</v>
      </c>
      <c r="E33" s="10" t="s">
        <v>22</v>
      </c>
      <c r="F33" s="10" t="s">
        <v>22</v>
      </c>
      <c r="G33" s="10" t="s">
        <v>22</v>
      </c>
      <c r="H33" s="10" t="s">
        <v>214</v>
      </c>
      <c r="I33" s="10" t="s">
        <v>214</v>
      </c>
      <c r="J33" s="10" t="s">
        <v>214</v>
      </c>
      <c r="K33" s="10" t="s">
        <v>222</v>
      </c>
      <c r="L33" s="10" t="s">
        <v>222</v>
      </c>
      <c r="M33" s="10" t="s">
        <v>222</v>
      </c>
    </row>
    <row r="34" spans="1:13" ht="26" x14ac:dyDescent="0.3">
      <c r="A34" s="4" t="s">
        <v>7</v>
      </c>
      <c r="B34" s="9" t="s">
        <v>16</v>
      </c>
      <c r="C34" s="10" t="s">
        <v>16</v>
      </c>
      <c r="D34" s="10" t="s">
        <v>16</v>
      </c>
      <c r="E34" s="10" t="s">
        <v>207</v>
      </c>
      <c r="F34" s="10" t="s">
        <v>207</v>
      </c>
      <c r="G34" s="10" t="s">
        <v>207</v>
      </c>
      <c r="H34" s="10" t="s">
        <v>215</v>
      </c>
      <c r="I34" s="10" t="s">
        <v>215</v>
      </c>
      <c r="J34" s="10" t="s">
        <v>215</v>
      </c>
      <c r="K34" s="10" t="s">
        <v>230</v>
      </c>
      <c r="L34" s="10" t="s">
        <v>230</v>
      </c>
      <c r="M34" s="10" t="s">
        <v>230</v>
      </c>
    </row>
    <row r="35" spans="1:13" ht="26" x14ac:dyDescent="0.3">
      <c r="A35" s="4" t="s">
        <v>8</v>
      </c>
      <c r="B35" s="9" t="s">
        <v>17</v>
      </c>
      <c r="C35" s="10" t="s">
        <v>17</v>
      </c>
      <c r="D35" s="10" t="s">
        <v>17</v>
      </c>
      <c r="E35" s="9" t="s">
        <v>208</v>
      </c>
      <c r="F35" s="9" t="s">
        <v>208</v>
      </c>
      <c r="G35" s="9" t="s">
        <v>208</v>
      </c>
      <c r="H35" s="10" t="s">
        <v>216</v>
      </c>
      <c r="I35" s="10" t="s">
        <v>216</v>
      </c>
      <c r="J35" s="10" t="s">
        <v>216</v>
      </c>
      <c r="K35" s="10" t="s">
        <v>231</v>
      </c>
      <c r="L35" s="10" t="s">
        <v>231</v>
      </c>
      <c r="M35" s="10" t="s">
        <v>231</v>
      </c>
    </row>
    <row r="36" spans="1:13" ht="26" x14ac:dyDescent="0.3">
      <c r="A36" s="4" t="s">
        <v>9</v>
      </c>
      <c r="B36" s="9" t="s">
        <v>18</v>
      </c>
      <c r="C36" s="10" t="s">
        <v>18</v>
      </c>
      <c r="D36" s="10" t="s">
        <v>18</v>
      </c>
      <c r="E36" s="9" t="s">
        <v>209</v>
      </c>
      <c r="F36" s="9" t="s">
        <v>209</v>
      </c>
      <c r="G36" s="9" t="s">
        <v>209</v>
      </c>
      <c r="H36" s="10" t="s">
        <v>217</v>
      </c>
      <c r="I36" s="10" t="s">
        <v>217</v>
      </c>
      <c r="J36" s="10" t="s">
        <v>217</v>
      </c>
      <c r="K36" s="10" t="s">
        <v>232</v>
      </c>
      <c r="L36" s="10" t="s">
        <v>232</v>
      </c>
      <c r="M36" s="10" t="s">
        <v>232</v>
      </c>
    </row>
    <row r="37" spans="1:13" ht="26" x14ac:dyDescent="0.3">
      <c r="A37" s="4" t="s">
        <v>10</v>
      </c>
      <c r="B37" s="9" t="s">
        <v>236</v>
      </c>
      <c r="C37" s="10" t="s">
        <v>236</v>
      </c>
      <c r="D37" s="10" t="s">
        <v>236</v>
      </c>
      <c r="E37" s="9" t="s">
        <v>210</v>
      </c>
      <c r="F37" s="9" t="s">
        <v>210</v>
      </c>
      <c r="G37" s="9" t="s">
        <v>210</v>
      </c>
      <c r="H37" s="10" t="s">
        <v>218</v>
      </c>
      <c r="I37" s="10" t="s">
        <v>218</v>
      </c>
      <c r="J37" s="10" t="s">
        <v>218</v>
      </c>
      <c r="K37" s="10" t="s">
        <v>233</v>
      </c>
      <c r="L37" s="10" t="s">
        <v>233</v>
      </c>
      <c r="M37" s="10" t="s">
        <v>233</v>
      </c>
    </row>
    <row r="38" spans="1:13" ht="26" x14ac:dyDescent="0.3">
      <c r="A38" s="4" t="s">
        <v>11</v>
      </c>
      <c r="B38" s="9" t="s">
        <v>27</v>
      </c>
      <c r="C38" s="10" t="s">
        <v>27</v>
      </c>
      <c r="D38" s="10" t="s">
        <v>27</v>
      </c>
      <c r="E38" s="9" t="s">
        <v>211</v>
      </c>
      <c r="F38" s="9" t="s">
        <v>211</v>
      </c>
      <c r="G38" s="9" t="s">
        <v>211</v>
      </c>
      <c r="H38" s="10" t="s">
        <v>219</v>
      </c>
      <c r="I38" s="10" t="s">
        <v>219</v>
      </c>
      <c r="J38" s="10" t="s">
        <v>219</v>
      </c>
      <c r="K38" s="10" t="s">
        <v>234</v>
      </c>
      <c r="L38" s="10" t="s">
        <v>234</v>
      </c>
      <c r="M38" s="10" t="s">
        <v>234</v>
      </c>
    </row>
    <row r="39" spans="1:13" ht="27" thickBot="1" x14ac:dyDescent="0.35">
      <c r="A39" s="5" t="s">
        <v>12</v>
      </c>
      <c r="B39" s="12" t="s">
        <v>20</v>
      </c>
      <c r="C39" s="13" t="s">
        <v>20</v>
      </c>
      <c r="D39" s="13" t="s">
        <v>20</v>
      </c>
      <c r="E39" s="12" t="s">
        <v>212</v>
      </c>
      <c r="F39" s="12" t="s">
        <v>212</v>
      </c>
      <c r="G39" s="12" t="s">
        <v>212</v>
      </c>
      <c r="H39" s="13" t="s">
        <v>220</v>
      </c>
      <c r="I39" s="13" t="s">
        <v>220</v>
      </c>
      <c r="J39" s="13" t="s">
        <v>220</v>
      </c>
      <c r="K39" s="13" t="s">
        <v>235</v>
      </c>
      <c r="L39" s="13" t="s">
        <v>235</v>
      </c>
      <c r="M39" s="13" t="s">
        <v>235</v>
      </c>
    </row>
    <row r="40" spans="1:1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5ABD-37B7-2D4C-B30F-9DBD74DB49EC}">
  <sheetPr>
    <pageSetUpPr fitToPage="1"/>
  </sheetPr>
  <dimension ref="A1:AB29"/>
  <sheetViews>
    <sheetView tabSelected="1" workbookViewId="0">
      <selection activeCell="O21" sqref="O21"/>
    </sheetView>
  </sheetViews>
  <sheetFormatPr baseColWidth="10" defaultRowHeight="16" x14ac:dyDescent="0.2"/>
  <cols>
    <col min="2" max="4" width="22.5" bestFit="1" customWidth="1"/>
    <col min="5" max="7" width="23.6640625" bestFit="1" customWidth="1"/>
    <col min="8" max="13" width="24.6640625" bestFit="1" customWidth="1"/>
    <col min="17" max="17" width="23.6640625" bestFit="1" customWidth="1"/>
    <col min="18" max="19" width="24.6640625" bestFit="1" customWidth="1"/>
    <col min="20" max="20" width="23.6640625" bestFit="1" customWidth="1"/>
    <col min="21" max="21" width="24.6640625" bestFit="1" customWidth="1"/>
    <col min="22" max="22" width="24.1640625" bestFit="1" customWidth="1"/>
    <col min="23" max="23" width="23.6640625" bestFit="1" customWidth="1"/>
    <col min="24" max="24" width="24.6640625" bestFit="1" customWidth="1"/>
    <col min="25" max="25" width="24.1640625" bestFit="1" customWidth="1"/>
    <col min="26" max="26" width="23.1640625" bestFit="1" customWidth="1"/>
    <col min="27" max="27" width="24.6640625" bestFit="1" customWidth="1"/>
    <col min="28" max="28" width="21.1640625" bestFit="1" customWidth="1"/>
  </cols>
  <sheetData>
    <row r="1" spans="1:28" ht="27" thickBot="1" x14ac:dyDescent="0.35">
      <c r="A1" s="19" t="s">
        <v>238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  <c r="P1" s="1" t="s">
        <v>4</v>
      </c>
      <c r="Q1" s="2">
        <v>1</v>
      </c>
      <c r="R1" s="2">
        <v>2</v>
      </c>
      <c r="S1" s="2">
        <v>3</v>
      </c>
      <c r="T1" s="2">
        <v>4</v>
      </c>
      <c r="U1" s="2">
        <v>5</v>
      </c>
      <c r="V1" s="2">
        <v>6</v>
      </c>
      <c r="W1" s="2">
        <v>7</v>
      </c>
      <c r="X1" s="2">
        <v>8</v>
      </c>
      <c r="Y1" s="2">
        <v>9</v>
      </c>
      <c r="Z1" s="2">
        <v>10</v>
      </c>
      <c r="AA1" s="2">
        <v>11</v>
      </c>
      <c r="AB1" s="3">
        <v>12</v>
      </c>
    </row>
    <row r="2" spans="1:28" ht="27" thickBot="1" x14ac:dyDescent="0.35">
      <c r="A2" s="4" t="s">
        <v>5</v>
      </c>
      <c r="B2" s="1" t="s">
        <v>13</v>
      </c>
      <c r="C2" s="7" t="s">
        <v>13</v>
      </c>
      <c r="D2" s="7" t="s">
        <v>13</v>
      </c>
      <c r="E2" s="7" t="s">
        <v>154</v>
      </c>
      <c r="F2" s="7" t="s">
        <v>154</v>
      </c>
      <c r="G2" s="7" t="s">
        <v>154</v>
      </c>
      <c r="H2" s="7" t="s">
        <v>162</v>
      </c>
      <c r="I2" s="7" t="s">
        <v>162</v>
      </c>
      <c r="J2" s="7" t="s">
        <v>162</v>
      </c>
      <c r="K2" s="7" t="s">
        <v>170</v>
      </c>
      <c r="L2" s="7" t="s">
        <v>170</v>
      </c>
      <c r="M2" s="7" t="s">
        <v>170</v>
      </c>
      <c r="P2" s="4" t="s">
        <v>5</v>
      </c>
      <c r="Q2" s="1" t="s">
        <v>237</v>
      </c>
      <c r="R2" s="20" t="s">
        <v>144</v>
      </c>
      <c r="S2" s="20" t="s">
        <v>154</v>
      </c>
      <c r="T2" s="1" t="s">
        <v>237</v>
      </c>
      <c r="U2" s="20" t="s">
        <v>168</v>
      </c>
      <c r="V2" s="20" t="s">
        <v>176</v>
      </c>
      <c r="W2" s="1" t="s">
        <v>237</v>
      </c>
      <c r="X2" s="26" t="s">
        <v>191</v>
      </c>
      <c r="Y2" s="26" t="s">
        <v>199</v>
      </c>
      <c r="Z2" s="1" t="s">
        <v>237</v>
      </c>
      <c r="AA2" s="30" t="s">
        <v>213</v>
      </c>
      <c r="AB2" s="31" t="s">
        <v>221</v>
      </c>
    </row>
    <row r="3" spans="1:28" ht="27" thickBot="1" x14ac:dyDescent="0.35">
      <c r="A3" s="4" t="s">
        <v>6</v>
      </c>
      <c r="B3" s="9" t="s">
        <v>14</v>
      </c>
      <c r="C3" s="10" t="s">
        <v>14</v>
      </c>
      <c r="D3" s="10" t="s">
        <v>14</v>
      </c>
      <c r="E3" s="10" t="s">
        <v>155</v>
      </c>
      <c r="F3" s="10" t="s">
        <v>155</v>
      </c>
      <c r="G3" s="10" t="s">
        <v>155</v>
      </c>
      <c r="H3" s="10" t="s">
        <v>163</v>
      </c>
      <c r="I3" s="10" t="s">
        <v>163</v>
      </c>
      <c r="J3" s="10" t="s">
        <v>163</v>
      </c>
      <c r="K3" s="10" t="s">
        <v>171</v>
      </c>
      <c r="L3" s="10" t="s">
        <v>171</v>
      </c>
      <c r="M3" s="10" t="s">
        <v>171</v>
      </c>
      <c r="P3" s="4" t="s">
        <v>6</v>
      </c>
      <c r="Q3" s="1" t="s">
        <v>237</v>
      </c>
      <c r="R3" s="21" t="s">
        <v>145</v>
      </c>
      <c r="S3" s="21" t="s">
        <v>155</v>
      </c>
      <c r="T3" s="1" t="s">
        <v>237</v>
      </c>
      <c r="U3" s="21" t="s">
        <v>169</v>
      </c>
      <c r="V3" s="21" t="s">
        <v>177</v>
      </c>
      <c r="W3" s="1" t="s">
        <v>237</v>
      </c>
      <c r="X3" s="24" t="s">
        <v>192</v>
      </c>
      <c r="Y3" s="24" t="s">
        <v>200</v>
      </c>
      <c r="Z3" s="1" t="s">
        <v>237</v>
      </c>
      <c r="AA3" s="28" t="s">
        <v>214</v>
      </c>
      <c r="AB3" s="32" t="s">
        <v>222</v>
      </c>
    </row>
    <row r="4" spans="1:28" ht="27" thickBot="1" x14ac:dyDescent="0.35">
      <c r="A4" s="4" t="s">
        <v>7</v>
      </c>
      <c r="B4" s="9" t="s">
        <v>15</v>
      </c>
      <c r="C4" s="10" t="s">
        <v>15</v>
      </c>
      <c r="D4" s="10" t="s">
        <v>15</v>
      </c>
      <c r="E4" s="10" t="s">
        <v>156</v>
      </c>
      <c r="F4" s="10" t="s">
        <v>156</v>
      </c>
      <c r="G4" s="10" t="s">
        <v>156</v>
      </c>
      <c r="H4" s="10" t="s">
        <v>164</v>
      </c>
      <c r="I4" s="10" t="s">
        <v>164</v>
      </c>
      <c r="J4" s="10" t="s">
        <v>164</v>
      </c>
      <c r="K4" s="10" t="s">
        <v>172</v>
      </c>
      <c r="L4" s="10" t="s">
        <v>172</v>
      </c>
      <c r="M4" s="10" t="s">
        <v>172</v>
      </c>
      <c r="P4" s="4" t="s">
        <v>7</v>
      </c>
      <c r="Q4" s="9" t="s">
        <v>141</v>
      </c>
      <c r="R4" s="10" t="s">
        <v>147</v>
      </c>
      <c r="S4" s="21" t="s">
        <v>156</v>
      </c>
      <c r="T4" s="21" t="s">
        <v>162</v>
      </c>
      <c r="U4" s="21" t="s">
        <v>170</v>
      </c>
      <c r="V4" s="24" t="s">
        <v>178</v>
      </c>
      <c r="W4" s="24" t="s">
        <v>185</v>
      </c>
      <c r="X4" s="24" t="s">
        <v>193</v>
      </c>
      <c r="Y4" s="24" t="s">
        <v>201</v>
      </c>
      <c r="Z4" s="28" t="s">
        <v>207</v>
      </c>
      <c r="AA4" s="28" t="s">
        <v>215</v>
      </c>
      <c r="AB4" s="1" t="s">
        <v>237</v>
      </c>
    </row>
    <row r="5" spans="1:28" ht="27" thickBot="1" x14ac:dyDescent="0.35">
      <c r="A5" s="4" t="s">
        <v>8</v>
      </c>
      <c r="B5" s="9" t="s">
        <v>16</v>
      </c>
      <c r="C5" s="10" t="s">
        <v>16</v>
      </c>
      <c r="D5" s="10" t="s">
        <v>16</v>
      </c>
      <c r="E5" s="9" t="s">
        <v>157</v>
      </c>
      <c r="F5" s="9" t="s">
        <v>157</v>
      </c>
      <c r="G5" s="9" t="s">
        <v>157</v>
      </c>
      <c r="H5" s="10" t="s">
        <v>165</v>
      </c>
      <c r="I5" s="10" t="s">
        <v>165</v>
      </c>
      <c r="J5" s="10" t="s">
        <v>165</v>
      </c>
      <c r="K5" s="10" t="s">
        <v>173</v>
      </c>
      <c r="L5" s="10" t="s">
        <v>173</v>
      </c>
      <c r="M5" s="10" t="s">
        <v>173</v>
      </c>
      <c r="P5" s="4" t="s">
        <v>8</v>
      </c>
      <c r="Q5" s="9" t="s">
        <v>142</v>
      </c>
      <c r="R5" s="10" t="s">
        <v>148</v>
      </c>
      <c r="S5" s="21" t="s">
        <v>157</v>
      </c>
      <c r="T5" s="21" t="s">
        <v>163</v>
      </c>
      <c r="U5" s="21" t="s">
        <v>171</v>
      </c>
      <c r="V5" s="24" t="s">
        <v>179</v>
      </c>
      <c r="W5" s="24" t="s">
        <v>186</v>
      </c>
      <c r="X5" s="24" t="s">
        <v>194</v>
      </c>
      <c r="Y5" s="24" t="s">
        <v>202</v>
      </c>
      <c r="Z5" s="28" t="s">
        <v>208</v>
      </c>
      <c r="AA5" s="28" t="s">
        <v>216</v>
      </c>
      <c r="AB5" s="1" t="s">
        <v>237</v>
      </c>
    </row>
    <row r="6" spans="1:28" ht="27" thickBot="1" x14ac:dyDescent="0.35">
      <c r="A6" s="4" t="s">
        <v>9</v>
      </c>
      <c r="B6" s="9" t="s">
        <v>17</v>
      </c>
      <c r="C6" s="10" t="s">
        <v>17</v>
      </c>
      <c r="D6" s="10" t="s">
        <v>17</v>
      </c>
      <c r="E6" s="9" t="s">
        <v>158</v>
      </c>
      <c r="F6" s="9" t="s">
        <v>158</v>
      </c>
      <c r="G6" s="9" t="s">
        <v>158</v>
      </c>
      <c r="H6" s="10" t="s">
        <v>166</v>
      </c>
      <c r="I6" s="10" t="s">
        <v>166</v>
      </c>
      <c r="J6" s="10" t="s">
        <v>166</v>
      </c>
      <c r="K6" s="10" t="s">
        <v>174</v>
      </c>
      <c r="L6" s="10" t="s">
        <v>174</v>
      </c>
      <c r="M6" s="10" t="s">
        <v>174</v>
      </c>
      <c r="P6" s="4" t="s">
        <v>9</v>
      </c>
      <c r="Q6" s="9" t="s">
        <v>143</v>
      </c>
      <c r="R6" s="10" t="s">
        <v>149</v>
      </c>
      <c r="S6" s="21" t="s">
        <v>158</v>
      </c>
      <c r="T6" s="21" t="s">
        <v>164</v>
      </c>
      <c r="U6" s="21" t="s">
        <v>172</v>
      </c>
      <c r="V6" s="24" t="s">
        <v>180</v>
      </c>
      <c r="W6" s="24" t="s">
        <v>187</v>
      </c>
      <c r="X6" s="24" t="s">
        <v>195</v>
      </c>
      <c r="Y6" s="24" t="s">
        <v>203</v>
      </c>
      <c r="Z6" s="28" t="s">
        <v>209</v>
      </c>
      <c r="AA6" s="28" t="s">
        <v>217</v>
      </c>
      <c r="AB6" s="1" t="s">
        <v>237</v>
      </c>
    </row>
    <row r="7" spans="1:28" ht="27" thickBot="1" x14ac:dyDescent="0.35">
      <c r="A7" s="4" t="s">
        <v>10</v>
      </c>
      <c r="B7" s="9" t="s">
        <v>20</v>
      </c>
      <c r="C7" s="9" t="s">
        <v>20</v>
      </c>
      <c r="D7" s="9" t="s">
        <v>20</v>
      </c>
      <c r="E7" s="9" t="s">
        <v>159</v>
      </c>
      <c r="F7" s="9" t="s">
        <v>159</v>
      </c>
      <c r="G7" s="9" t="s">
        <v>159</v>
      </c>
      <c r="H7" s="10" t="s">
        <v>167</v>
      </c>
      <c r="I7" s="10" t="s">
        <v>167</v>
      </c>
      <c r="J7" s="10" t="s">
        <v>167</v>
      </c>
      <c r="K7" s="10" t="s">
        <v>175</v>
      </c>
      <c r="L7" s="10" t="s">
        <v>175</v>
      </c>
      <c r="M7" s="10" t="s">
        <v>175</v>
      </c>
      <c r="P7" s="4" t="s">
        <v>10</v>
      </c>
      <c r="Q7" s="9" t="s">
        <v>137</v>
      </c>
      <c r="R7" s="10" t="s">
        <v>150</v>
      </c>
      <c r="S7" s="21" t="s">
        <v>159</v>
      </c>
      <c r="T7" s="21" t="s">
        <v>165</v>
      </c>
      <c r="U7" s="21" t="s">
        <v>173</v>
      </c>
      <c r="V7" s="24" t="s">
        <v>181</v>
      </c>
      <c r="W7" s="24" t="s">
        <v>188</v>
      </c>
      <c r="X7" s="24" t="s">
        <v>196</v>
      </c>
      <c r="Y7" s="24" t="s">
        <v>204</v>
      </c>
      <c r="Z7" s="28" t="s">
        <v>210</v>
      </c>
      <c r="AA7" s="28" t="s">
        <v>218</v>
      </c>
      <c r="AB7" s="1" t="s">
        <v>237</v>
      </c>
    </row>
    <row r="8" spans="1:28" ht="27" thickBot="1" x14ac:dyDescent="0.35">
      <c r="A8" s="4" t="s">
        <v>11</v>
      </c>
      <c r="B8" s="9" t="s">
        <v>144</v>
      </c>
      <c r="C8" s="10" t="s">
        <v>144</v>
      </c>
      <c r="D8" s="10" t="s">
        <v>144</v>
      </c>
      <c r="E8" s="9" t="s">
        <v>160</v>
      </c>
      <c r="F8" s="9" t="s">
        <v>160</v>
      </c>
      <c r="G8" s="9" t="s">
        <v>160</v>
      </c>
      <c r="H8" s="10" t="s">
        <v>168</v>
      </c>
      <c r="I8" s="10" t="s">
        <v>168</v>
      </c>
      <c r="J8" s="10" t="s">
        <v>168</v>
      </c>
      <c r="K8" s="10" t="s">
        <v>176</v>
      </c>
      <c r="L8" s="10" t="s">
        <v>176</v>
      </c>
      <c r="M8" s="10" t="s">
        <v>176</v>
      </c>
      <c r="P8" s="4" t="s">
        <v>11</v>
      </c>
      <c r="Q8" s="9" t="s">
        <v>138</v>
      </c>
      <c r="R8" s="10" t="s">
        <v>151</v>
      </c>
      <c r="S8" s="21" t="s">
        <v>160</v>
      </c>
      <c r="T8" s="21" t="s">
        <v>166</v>
      </c>
      <c r="U8" s="21" t="s">
        <v>174</v>
      </c>
      <c r="V8" s="24" t="s">
        <v>182</v>
      </c>
      <c r="W8" s="24" t="s">
        <v>189</v>
      </c>
      <c r="X8" s="24" t="s">
        <v>197</v>
      </c>
      <c r="Y8" s="28" t="s">
        <v>205</v>
      </c>
      <c r="Z8" s="28" t="s">
        <v>211</v>
      </c>
      <c r="AA8" s="28" t="s">
        <v>219</v>
      </c>
      <c r="AB8" s="1" t="s">
        <v>237</v>
      </c>
    </row>
    <row r="9" spans="1:28" ht="27" thickBot="1" x14ac:dyDescent="0.35">
      <c r="A9" s="5" t="s">
        <v>12</v>
      </c>
      <c r="B9" s="12" t="s">
        <v>145</v>
      </c>
      <c r="C9" s="13" t="s">
        <v>145</v>
      </c>
      <c r="D9" s="13" t="s">
        <v>145</v>
      </c>
      <c r="E9" s="12" t="s">
        <v>161</v>
      </c>
      <c r="F9" s="12" t="s">
        <v>161</v>
      </c>
      <c r="G9" s="12" t="s">
        <v>161</v>
      </c>
      <c r="H9" s="13" t="s">
        <v>169</v>
      </c>
      <c r="I9" s="13" t="s">
        <v>169</v>
      </c>
      <c r="J9" s="13" t="s">
        <v>169</v>
      </c>
      <c r="K9" s="13" t="s">
        <v>177</v>
      </c>
      <c r="L9" s="13" t="s">
        <v>177</v>
      </c>
      <c r="M9" s="13" t="s">
        <v>177</v>
      </c>
      <c r="P9" s="5" t="s">
        <v>12</v>
      </c>
      <c r="Q9" s="12" t="s">
        <v>139</v>
      </c>
      <c r="R9" s="13" t="s">
        <v>153</v>
      </c>
      <c r="S9" s="22" t="s">
        <v>161</v>
      </c>
      <c r="T9" s="22" t="s">
        <v>167</v>
      </c>
      <c r="U9" s="22" t="s">
        <v>175</v>
      </c>
      <c r="V9" s="25" t="s">
        <v>184</v>
      </c>
      <c r="W9" s="25" t="s">
        <v>190</v>
      </c>
      <c r="X9" s="25" t="s">
        <v>198</v>
      </c>
      <c r="Y9" s="29" t="s">
        <v>206</v>
      </c>
      <c r="Z9" s="29" t="s">
        <v>212</v>
      </c>
      <c r="AA9" s="29" t="s">
        <v>220</v>
      </c>
      <c r="AB9" s="1" t="s">
        <v>237</v>
      </c>
    </row>
    <row r="10" spans="1:28" ht="17" thickBot="1" x14ac:dyDescent="0.25"/>
    <row r="11" spans="1:28" ht="27" thickBot="1" x14ac:dyDescent="0.35">
      <c r="A11" s="23" t="s">
        <v>239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3">
        <v>12</v>
      </c>
    </row>
    <row r="12" spans="1:28" ht="26" x14ac:dyDescent="0.3">
      <c r="A12" s="4" t="s">
        <v>5</v>
      </c>
      <c r="B12" s="1" t="s">
        <v>13</v>
      </c>
      <c r="C12" s="7" t="s">
        <v>13</v>
      </c>
      <c r="D12" s="7" t="s">
        <v>13</v>
      </c>
      <c r="E12" s="7" t="s">
        <v>180</v>
      </c>
      <c r="F12" s="7" t="s">
        <v>180</v>
      </c>
      <c r="G12" s="7" t="s">
        <v>180</v>
      </c>
      <c r="H12" s="7" t="s">
        <v>189</v>
      </c>
      <c r="I12" s="7" t="s">
        <v>189</v>
      </c>
      <c r="J12" s="7" t="s">
        <v>189</v>
      </c>
      <c r="K12" s="7" t="s">
        <v>197</v>
      </c>
      <c r="L12" s="7" t="s">
        <v>197</v>
      </c>
      <c r="M12" s="7" t="s">
        <v>197</v>
      </c>
    </row>
    <row r="13" spans="1:28" ht="26" x14ac:dyDescent="0.3">
      <c r="A13" s="4" t="s">
        <v>6</v>
      </c>
      <c r="B13" s="9" t="s">
        <v>14</v>
      </c>
      <c r="C13" s="10" t="s">
        <v>14</v>
      </c>
      <c r="D13" s="10" t="s">
        <v>14</v>
      </c>
      <c r="E13" s="10" t="s">
        <v>181</v>
      </c>
      <c r="F13" s="10" t="s">
        <v>181</v>
      </c>
      <c r="G13" s="10" t="s">
        <v>181</v>
      </c>
      <c r="H13" s="10" t="s">
        <v>190</v>
      </c>
      <c r="I13" s="10" t="s">
        <v>190</v>
      </c>
      <c r="J13" s="10" t="s">
        <v>190</v>
      </c>
      <c r="K13" s="10" t="s">
        <v>198</v>
      </c>
      <c r="L13" s="10" t="s">
        <v>198</v>
      </c>
      <c r="M13" s="10" t="s">
        <v>198</v>
      </c>
    </row>
    <row r="14" spans="1:28" ht="26" x14ac:dyDescent="0.3">
      <c r="A14" s="4" t="s">
        <v>7</v>
      </c>
      <c r="B14" s="9" t="s">
        <v>15</v>
      </c>
      <c r="C14" s="10" t="s">
        <v>15</v>
      </c>
      <c r="D14" s="10" t="s">
        <v>15</v>
      </c>
      <c r="E14" s="10" t="s">
        <v>182</v>
      </c>
      <c r="F14" s="10" t="s">
        <v>182</v>
      </c>
      <c r="G14" s="10" t="s">
        <v>182</v>
      </c>
      <c r="H14" s="10" t="s">
        <v>191</v>
      </c>
      <c r="I14" s="10" t="s">
        <v>191</v>
      </c>
      <c r="J14" s="10" t="s">
        <v>191</v>
      </c>
      <c r="K14" s="10" t="s">
        <v>199</v>
      </c>
      <c r="L14" s="10" t="s">
        <v>199</v>
      </c>
      <c r="M14" s="10" t="s">
        <v>199</v>
      </c>
    </row>
    <row r="15" spans="1:28" ht="26" x14ac:dyDescent="0.3">
      <c r="A15" s="4" t="s">
        <v>8</v>
      </c>
      <c r="B15" s="9" t="s">
        <v>16</v>
      </c>
      <c r="C15" s="10" t="s">
        <v>16</v>
      </c>
      <c r="D15" s="10" t="s">
        <v>16</v>
      </c>
      <c r="E15" s="9" t="s">
        <v>184</v>
      </c>
      <c r="F15" s="9" t="s">
        <v>184</v>
      </c>
      <c r="G15" s="9" t="s">
        <v>184</v>
      </c>
      <c r="H15" s="10" t="s">
        <v>192</v>
      </c>
      <c r="I15" s="10" t="s">
        <v>192</v>
      </c>
      <c r="J15" s="10" t="s">
        <v>192</v>
      </c>
      <c r="K15" s="10" t="s">
        <v>200</v>
      </c>
      <c r="L15" s="10" t="s">
        <v>200</v>
      </c>
      <c r="M15" s="10" t="s">
        <v>200</v>
      </c>
    </row>
    <row r="16" spans="1:28" ht="26" x14ac:dyDescent="0.3">
      <c r="A16" s="4" t="s">
        <v>9</v>
      </c>
      <c r="B16" s="9" t="s">
        <v>17</v>
      </c>
      <c r="C16" s="10" t="s">
        <v>17</v>
      </c>
      <c r="D16" s="10" t="s">
        <v>17</v>
      </c>
      <c r="E16" s="9" t="s">
        <v>185</v>
      </c>
      <c r="F16" s="9" t="s">
        <v>185</v>
      </c>
      <c r="G16" s="9" t="s">
        <v>185</v>
      </c>
      <c r="H16" s="10" t="s">
        <v>193</v>
      </c>
      <c r="I16" s="10" t="s">
        <v>193</v>
      </c>
      <c r="J16" s="10" t="s">
        <v>193</v>
      </c>
      <c r="K16" s="10" t="s">
        <v>201</v>
      </c>
      <c r="L16" s="10" t="s">
        <v>201</v>
      </c>
      <c r="M16" s="10" t="s">
        <v>201</v>
      </c>
    </row>
    <row r="17" spans="1:13" ht="26" x14ac:dyDescent="0.3">
      <c r="A17" s="4" t="s">
        <v>10</v>
      </c>
      <c r="B17" s="9" t="s">
        <v>20</v>
      </c>
      <c r="C17" s="9" t="s">
        <v>20</v>
      </c>
      <c r="D17" s="9" t="s">
        <v>20</v>
      </c>
      <c r="E17" s="9" t="s">
        <v>186</v>
      </c>
      <c r="F17" s="9" t="s">
        <v>186</v>
      </c>
      <c r="G17" s="9" t="s">
        <v>186</v>
      </c>
      <c r="H17" s="10" t="s">
        <v>194</v>
      </c>
      <c r="I17" s="10" t="s">
        <v>194</v>
      </c>
      <c r="J17" s="10" t="s">
        <v>194</v>
      </c>
      <c r="K17" s="10" t="s">
        <v>202</v>
      </c>
      <c r="L17" s="10" t="s">
        <v>202</v>
      </c>
      <c r="M17" s="10" t="s">
        <v>202</v>
      </c>
    </row>
    <row r="18" spans="1:13" ht="26" x14ac:dyDescent="0.3">
      <c r="A18" s="4" t="s">
        <v>11</v>
      </c>
      <c r="B18" s="9" t="s">
        <v>178</v>
      </c>
      <c r="C18" s="10" t="s">
        <v>178</v>
      </c>
      <c r="D18" s="10" t="s">
        <v>178</v>
      </c>
      <c r="E18" s="9" t="s">
        <v>187</v>
      </c>
      <c r="F18" s="9" t="s">
        <v>187</v>
      </c>
      <c r="G18" s="9" t="s">
        <v>187</v>
      </c>
      <c r="H18" s="10" t="s">
        <v>195</v>
      </c>
      <c r="I18" s="10" t="s">
        <v>195</v>
      </c>
      <c r="J18" s="10" t="s">
        <v>195</v>
      </c>
      <c r="K18" s="10" t="s">
        <v>203</v>
      </c>
      <c r="L18" s="10" t="s">
        <v>203</v>
      </c>
      <c r="M18" s="10" t="s">
        <v>203</v>
      </c>
    </row>
    <row r="19" spans="1:13" ht="27" thickBot="1" x14ac:dyDescent="0.35">
      <c r="A19" s="5" t="s">
        <v>12</v>
      </c>
      <c r="B19" s="12" t="s">
        <v>179</v>
      </c>
      <c r="C19" s="13" t="s">
        <v>179</v>
      </c>
      <c r="D19" s="13" t="s">
        <v>179</v>
      </c>
      <c r="E19" s="12" t="s">
        <v>188</v>
      </c>
      <c r="F19" s="12" t="s">
        <v>188</v>
      </c>
      <c r="G19" s="12" t="s">
        <v>188</v>
      </c>
      <c r="H19" s="13" t="s">
        <v>196</v>
      </c>
      <c r="I19" s="13" t="s">
        <v>196</v>
      </c>
      <c r="J19" s="13" t="s">
        <v>196</v>
      </c>
      <c r="K19" s="13" t="s">
        <v>204</v>
      </c>
      <c r="L19" s="13" t="s">
        <v>204</v>
      </c>
      <c r="M19" s="13" t="s">
        <v>204</v>
      </c>
    </row>
    <row r="20" spans="1:13" ht="17" thickBot="1" x14ac:dyDescent="0.25"/>
    <row r="21" spans="1:13" ht="27" thickBot="1" x14ac:dyDescent="0.35">
      <c r="A21" s="27" t="s">
        <v>240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3">
        <v>12</v>
      </c>
    </row>
    <row r="22" spans="1:13" ht="26" x14ac:dyDescent="0.3">
      <c r="A22" s="4" t="s">
        <v>5</v>
      </c>
      <c r="B22" s="1" t="s">
        <v>13</v>
      </c>
      <c r="C22" s="7" t="s">
        <v>13</v>
      </c>
      <c r="D22" s="7" t="s">
        <v>13</v>
      </c>
      <c r="E22" s="7" t="s">
        <v>207</v>
      </c>
      <c r="F22" s="7" t="s">
        <v>207</v>
      </c>
      <c r="G22" s="7" t="s">
        <v>207</v>
      </c>
      <c r="H22" s="7" t="s">
        <v>215</v>
      </c>
      <c r="I22" s="7" t="s">
        <v>215</v>
      </c>
      <c r="J22" s="7" t="s">
        <v>215</v>
      </c>
      <c r="K22" s="7" t="s">
        <v>241</v>
      </c>
      <c r="L22" s="7" t="s">
        <v>241</v>
      </c>
      <c r="M22" s="7" t="s">
        <v>241</v>
      </c>
    </row>
    <row r="23" spans="1:13" ht="26" x14ac:dyDescent="0.3">
      <c r="A23" s="4" t="s">
        <v>6</v>
      </c>
      <c r="B23" s="9" t="s">
        <v>14</v>
      </c>
      <c r="C23" s="10" t="s">
        <v>14</v>
      </c>
      <c r="D23" s="10" t="s">
        <v>14</v>
      </c>
      <c r="E23" s="10" t="s">
        <v>208</v>
      </c>
      <c r="F23" s="10" t="s">
        <v>208</v>
      </c>
      <c r="G23" s="10" t="s">
        <v>208</v>
      </c>
      <c r="H23" s="10" t="s">
        <v>216</v>
      </c>
      <c r="I23" s="10" t="s">
        <v>216</v>
      </c>
      <c r="J23" s="10" t="s">
        <v>216</v>
      </c>
      <c r="K23" s="10" t="s">
        <v>242</v>
      </c>
      <c r="L23" s="10" t="s">
        <v>242</v>
      </c>
      <c r="M23" s="10" t="s">
        <v>242</v>
      </c>
    </row>
    <row r="24" spans="1:13" ht="26" x14ac:dyDescent="0.3">
      <c r="A24" s="4" t="s">
        <v>7</v>
      </c>
      <c r="B24" s="9" t="s">
        <v>15</v>
      </c>
      <c r="C24" s="10" t="s">
        <v>15</v>
      </c>
      <c r="D24" s="10" t="s">
        <v>15</v>
      </c>
      <c r="E24" s="10" t="s">
        <v>209</v>
      </c>
      <c r="F24" s="10" t="s">
        <v>209</v>
      </c>
      <c r="G24" s="10" t="s">
        <v>209</v>
      </c>
      <c r="H24" s="10" t="s">
        <v>217</v>
      </c>
      <c r="I24" s="10" t="s">
        <v>217</v>
      </c>
      <c r="J24" s="10" t="s">
        <v>217</v>
      </c>
      <c r="K24" s="10" t="s">
        <v>243</v>
      </c>
      <c r="L24" s="10" t="s">
        <v>243</v>
      </c>
      <c r="M24" s="10" t="s">
        <v>243</v>
      </c>
    </row>
    <row r="25" spans="1:13" ht="26" x14ac:dyDescent="0.3">
      <c r="A25" s="4" t="s">
        <v>8</v>
      </c>
      <c r="B25" s="9" t="s">
        <v>16</v>
      </c>
      <c r="C25" s="10" t="s">
        <v>16</v>
      </c>
      <c r="D25" s="10" t="s">
        <v>16</v>
      </c>
      <c r="E25" s="9" t="s">
        <v>210</v>
      </c>
      <c r="F25" s="9" t="s">
        <v>210</v>
      </c>
      <c r="G25" s="9" t="s">
        <v>210</v>
      </c>
      <c r="H25" s="10" t="s">
        <v>218</v>
      </c>
      <c r="I25" s="10" t="s">
        <v>218</v>
      </c>
      <c r="J25" s="10" t="s">
        <v>218</v>
      </c>
      <c r="K25" s="10" t="s">
        <v>244</v>
      </c>
      <c r="L25" s="10" t="s">
        <v>244</v>
      </c>
      <c r="M25" s="10" t="s">
        <v>244</v>
      </c>
    </row>
    <row r="26" spans="1:13" ht="26" x14ac:dyDescent="0.3">
      <c r="A26" s="4" t="s">
        <v>9</v>
      </c>
      <c r="B26" s="9" t="s">
        <v>17</v>
      </c>
      <c r="C26" s="10" t="s">
        <v>17</v>
      </c>
      <c r="D26" s="10" t="s">
        <v>17</v>
      </c>
      <c r="E26" s="9" t="s">
        <v>211</v>
      </c>
      <c r="F26" s="9" t="s">
        <v>211</v>
      </c>
      <c r="G26" s="9" t="s">
        <v>211</v>
      </c>
      <c r="H26" s="10" t="s">
        <v>219</v>
      </c>
      <c r="I26" s="10" t="s">
        <v>219</v>
      </c>
      <c r="J26" s="10" t="s">
        <v>219</v>
      </c>
      <c r="K26" s="10" t="s">
        <v>245</v>
      </c>
      <c r="L26" s="10" t="s">
        <v>245</v>
      </c>
      <c r="M26" s="10" t="s">
        <v>245</v>
      </c>
    </row>
    <row r="27" spans="1:13" ht="26" x14ac:dyDescent="0.3">
      <c r="A27" s="4" t="s">
        <v>10</v>
      </c>
      <c r="B27" s="9" t="s">
        <v>20</v>
      </c>
      <c r="C27" s="9" t="s">
        <v>20</v>
      </c>
      <c r="D27" s="9" t="s">
        <v>20</v>
      </c>
      <c r="E27" s="9" t="s">
        <v>212</v>
      </c>
      <c r="F27" s="9" t="s">
        <v>212</v>
      </c>
      <c r="G27" s="9" t="s">
        <v>212</v>
      </c>
      <c r="H27" s="10" t="s">
        <v>220</v>
      </c>
      <c r="I27" s="10" t="s">
        <v>220</v>
      </c>
      <c r="J27" s="10" t="s">
        <v>220</v>
      </c>
      <c r="K27" s="10" t="s">
        <v>246</v>
      </c>
      <c r="L27" s="10" t="s">
        <v>246</v>
      </c>
      <c r="M27" s="10" t="s">
        <v>246</v>
      </c>
    </row>
    <row r="28" spans="1:13" ht="26" x14ac:dyDescent="0.3">
      <c r="A28" s="4" t="s">
        <v>11</v>
      </c>
      <c r="B28" s="9" t="s">
        <v>205</v>
      </c>
      <c r="C28" s="10" t="s">
        <v>205</v>
      </c>
      <c r="D28" s="10" t="s">
        <v>205</v>
      </c>
      <c r="E28" s="9" t="s">
        <v>213</v>
      </c>
      <c r="F28" s="9" t="s">
        <v>213</v>
      </c>
      <c r="G28" s="9" t="s">
        <v>213</v>
      </c>
      <c r="H28" s="10" t="s">
        <v>221</v>
      </c>
      <c r="I28" s="10" t="s">
        <v>221</v>
      </c>
      <c r="J28" s="10" t="s">
        <v>221</v>
      </c>
      <c r="K28" s="10" t="s">
        <v>247</v>
      </c>
      <c r="L28" s="10" t="s">
        <v>247</v>
      </c>
      <c r="M28" s="10" t="s">
        <v>247</v>
      </c>
    </row>
    <row r="29" spans="1:13" ht="27" thickBot="1" x14ac:dyDescent="0.35">
      <c r="A29" s="5" t="s">
        <v>12</v>
      </c>
      <c r="B29" s="12" t="s">
        <v>206</v>
      </c>
      <c r="C29" s="13" t="s">
        <v>206</v>
      </c>
      <c r="D29" s="13" t="s">
        <v>206</v>
      </c>
      <c r="E29" s="12" t="s">
        <v>214</v>
      </c>
      <c r="F29" s="12" t="s">
        <v>214</v>
      </c>
      <c r="G29" s="12" t="s">
        <v>214</v>
      </c>
      <c r="H29" s="13" t="s">
        <v>222</v>
      </c>
      <c r="I29" s="13" t="s">
        <v>222</v>
      </c>
      <c r="J29" s="13" t="s">
        <v>222</v>
      </c>
      <c r="K29" s="13" t="s">
        <v>248</v>
      </c>
      <c r="L29" s="13" t="s">
        <v>248</v>
      </c>
      <c r="M29" s="13" t="s">
        <v>248</v>
      </c>
    </row>
  </sheetData>
  <phoneticPr fontId="1" type="noConversion"/>
  <pageMargins left="0.7" right="0.7" top="0.75" bottom="0.75" header="0.3" footer="0.3"/>
  <pageSetup scale="1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ConcentrationList</vt:lpstr>
      <vt:lpstr>DNAPlate</vt:lpstr>
      <vt:lpstr>PCR Plate-Mh</vt:lpstr>
      <vt:lpstr>MhMasterMix</vt:lpstr>
      <vt:lpstr>PCR Plate-ICE</vt:lpstr>
      <vt:lpstr>NewPlateMaps-ICE1</vt:lpstr>
      <vt:lpstr>ConcentrationList!Print_Titles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2023-06-13T14:37:53Z</cp:lastPrinted>
  <dcterms:created xsi:type="dcterms:W3CDTF">2023-02-15T14:37:57Z</dcterms:created>
  <dcterms:modified xsi:type="dcterms:W3CDTF">2023-06-14T13:59:11Z</dcterms:modified>
</cp:coreProperties>
</file>