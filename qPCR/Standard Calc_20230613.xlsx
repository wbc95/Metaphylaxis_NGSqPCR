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/Documents/Research/Projects/USDA_NIFA_AMR/Sequencing/qPCR/"/>
    </mc:Choice>
  </mc:AlternateContent>
  <xr:revisionPtr revIDLastSave="0" documentId="8_{8CAE63DE-547F-744E-878D-7D57C50C3B94}" xr6:coauthVersionLast="47" xr6:coauthVersionMax="47" xr10:uidLastSave="{00000000-0000-0000-0000-000000000000}"/>
  <bookViews>
    <workbookView xWindow="0" yWindow="0" windowWidth="35840" windowHeight="22400" xr2:uid="{0E35E27A-4FF6-044C-B59B-BB39BEE3C5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6" i="1"/>
  <c r="D3" i="1"/>
  <c r="C3" i="1"/>
  <c r="E2" i="1"/>
  <c r="C2" i="1"/>
  <c r="B2" i="1"/>
</calcChain>
</file>

<file path=xl/sharedStrings.xml><?xml version="1.0" encoding="utf-8"?>
<sst xmlns="http://schemas.openxmlformats.org/spreadsheetml/2006/main" count="12" uniqueCount="12">
  <si>
    <t>Plates</t>
  </si>
  <si>
    <t>Rxn</t>
  </si>
  <si>
    <t>Vol/Rx</t>
  </si>
  <si>
    <t>Mass/Rxn</t>
  </si>
  <si>
    <t>Rxn/Con</t>
  </si>
  <si>
    <t>Stock</t>
  </si>
  <si>
    <t>Total</t>
  </si>
  <si>
    <t>Standard</t>
  </si>
  <si>
    <t>Vol Stock</t>
  </si>
  <si>
    <t>LTE</t>
  </si>
  <si>
    <t>Mass needed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</si>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</sst>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9298-E40F-8F47-8901-9D916E2996AB}">
  <dimension ref="A1:H10"/>
  <sheetViews>
    <sheetView tabSelected="1" workbookViewId="0">
      <selection activeCell="E6" sqref="E6"/>
    </sheetView>
  </sheetViews>
  <sheetFormatPr baseColWidth="10" defaultRowHeight="16" x14ac:dyDescent="0.2"/>
  <cols>
    <col min="1" max="1" width="11.5" bestFit="1" customWidth="1"/>
    <col min="4" max="4" width="11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8" x14ac:dyDescent="0.2">
      <c r="A2">
        <v>24</v>
      </c>
      <c r="B2">
        <f>A2*3</f>
        <v>72</v>
      </c>
      <c r="C2">
        <f>8</f>
        <v>8</v>
      </c>
      <c r="D2">
        <v>10</v>
      </c>
      <c r="E2">
        <f>D2/C2</f>
        <v>1.25</v>
      </c>
      <c r="G2">
        <v>12.8</v>
      </c>
    </row>
    <row r="3" spans="1:8" x14ac:dyDescent="0.2">
      <c r="A3" t="s">
        <v>6</v>
      </c>
      <c r="C3">
        <f>C2*B2</f>
        <v>576</v>
      </c>
      <c r="D3">
        <f>D2*B2</f>
        <v>720</v>
      </c>
    </row>
    <row r="4" spans="1:8" x14ac:dyDescent="0.2">
      <c r="H4" t="s">
        <v>10</v>
      </c>
    </row>
    <row r="5" spans="1:8" x14ac:dyDescent="0.2">
      <c r="A5">
        <v>900</v>
      </c>
      <c r="B5" t="s">
        <v>7</v>
      </c>
      <c r="C5" t="s">
        <v>11</v>
      </c>
      <c r="D5" t="s">
        <v>8</v>
      </c>
      <c r="E5" t="s">
        <v>9</v>
      </c>
    </row>
    <row r="6" spans="1:8" x14ac:dyDescent="0.2">
      <c r="B6">
        <v>1</v>
      </c>
      <c r="C6">
        <v>1.25</v>
      </c>
      <c r="D6">
        <v>88</v>
      </c>
      <c r="E6">
        <f>900-D6</f>
        <v>812</v>
      </c>
    </row>
    <row r="7" spans="1:8" x14ac:dyDescent="0.2">
      <c r="B7">
        <v>2</v>
      </c>
      <c r="C7">
        <v>0.125</v>
      </c>
      <c r="D7">
        <v>90</v>
      </c>
      <c r="E7">
        <f t="shared" ref="E7:E10" si="0">900-D7</f>
        <v>810</v>
      </c>
    </row>
    <row r="8" spans="1:8" x14ac:dyDescent="0.2">
      <c r="B8">
        <v>3</v>
      </c>
      <c r="C8">
        <v>1.2500000000000001E-2</v>
      </c>
      <c r="D8">
        <v>90</v>
      </c>
      <c r="E8">
        <f t="shared" si="0"/>
        <v>810</v>
      </c>
    </row>
    <row r="9" spans="1:8" x14ac:dyDescent="0.2">
      <c r="B9">
        <v>4</v>
      </c>
      <c r="C9">
        <v>1.25E-3</v>
      </c>
      <c r="D9">
        <v>90</v>
      </c>
      <c r="E9">
        <f t="shared" si="0"/>
        <v>810</v>
      </c>
    </row>
    <row r="10" spans="1:8" x14ac:dyDescent="0.2">
      <c r="B10">
        <v>5</v>
      </c>
      <c r="C10">
        <v>1.25E-4</v>
      </c>
      <c r="D10">
        <v>90</v>
      </c>
      <c r="E10">
        <f t="shared" si="0"/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2023-06-13T15:44:48Z</dcterms:created>
  <dcterms:modified xsi:type="dcterms:W3CDTF">2023-06-13T15:50:48Z</dcterms:modified>
</cp:coreProperties>
</file>